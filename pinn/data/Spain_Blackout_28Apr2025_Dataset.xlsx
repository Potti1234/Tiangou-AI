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4.xml" ContentType="application/vnd.openxmlformats-officedocument.drawing+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263150\Downloads\"/>
    </mc:Choice>
  </mc:AlternateContent>
  <xr:revisionPtr revIDLastSave="0" documentId="13_ncr:1_{5D8D1BEF-92BE-48F1-91D8-F9F818B33738}" xr6:coauthVersionLast="47" xr6:coauthVersionMax="47" xr10:uidLastSave="{00000000-0000-0000-0000-000000000000}"/>
  <bookViews>
    <workbookView xWindow="-108" yWindow="-108" windowWidth="23256" windowHeight="13896" tabRatio="500" firstSheet="3" activeTab="5" xr2:uid="{00000000-000D-0000-FFFF-FFFF00000000}"/>
  </bookViews>
  <sheets>
    <sheet name="README" sheetId="1" r:id="rId1"/>
    <sheet name="Event_Timeline" sheetId="2" r:id="rId2"/>
    <sheet name="Hourly_Demand_Generation" sheetId="3" r:id="rId3"/>
    <sheet name="Pre_Event_15min" sheetId="4" r:id="rId4"/>
    <sheet name="Second_by_Second" sheetId="5" r:id="rId5"/>
    <sheet name="Swing_Equation" sheetId="6" r:id="rId6"/>
    <sheet name="Sources"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2" i="6" l="1"/>
  <c r="D55" i="6"/>
  <c r="C55" i="6"/>
  <c r="B55" i="6"/>
  <c r="D54" i="6"/>
  <c r="C54" i="6"/>
  <c r="B54" i="6"/>
  <c r="D53" i="6"/>
  <c r="C53" i="6"/>
  <c r="B53" i="6"/>
  <c r="D52" i="6"/>
  <c r="C52" i="6"/>
  <c r="D51" i="6"/>
  <c r="C51" i="6"/>
  <c r="B51" i="6"/>
  <c r="D50" i="6"/>
  <c r="C50" i="6"/>
  <c r="B50" i="6"/>
  <c r="D49" i="6"/>
  <c r="C49" i="6"/>
  <c r="B49" i="6"/>
  <c r="D48" i="6"/>
  <c r="C48" i="6"/>
  <c r="B48" i="6"/>
  <c r="D47" i="6"/>
  <c r="C47" i="6"/>
  <c r="B47" i="6"/>
  <c r="B41" i="6"/>
  <c r="B42" i="6" s="1"/>
  <c r="E96" i="5"/>
  <c r="G96" i="5" s="1"/>
  <c r="E95" i="5"/>
  <c r="G95" i="5" s="1"/>
  <c r="G94" i="5"/>
  <c r="E94" i="5"/>
  <c r="E93" i="5"/>
  <c r="G93" i="5" s="1"/>
  <c r="G92" i="5"/>
  <c r="E92" i="5"/>
  <c r="G91" i="5"/>
  <c r="E91" i="5"/>
  <c r="E90" i="5"/>
  <c r="G90" i="5" s="1"/>
  <c r="G89" i="5"/>
  <c r="E89" i="5"/>
  <c r="E88" i="5"/>
  <c r="G88" i="5" s="1"/>
  <c r="G87" i="5"/>
  <c r="E87" i="5"/>
  <c r="G86" i="5"/>
  <c r="E86" i="5"/>
  <c r="G85" i="5"/>
  <c r="E85" i="5"/>
  <c r="G84" i="5"/>
  <c r="E84" i="5"/>
  <c r="E83" i="5"/>
  <c r="G83" i="5" s="1"/>
  <c r="G82" i="5"/>
  <c r="E82" i="5"/>
  <c r="E81" i="5"/>
  <c r="G81" i="5" s="1"/>
  <c r="G80" i="5"/>
  <c r="E80" i="5"/>
  <c r="G79" i="5"/>
  <c r="E79" i="5"/>
  <c r="G78" i="5"/>
  <c r="E78" i="5"/>
  <c r="G77" i="5"/>
  <c r="E77" i="5"/>
  <c r="E76" i="5"/>
  <c r="G76" i="5" s="1"/>
  <c r="G75" i="5"/>
  <c r="E75" i="5"/>
  <c r="E74" i="5"/>
  <c r="G74" i="5" s="1"/>
  <c r="G73" i="5"/>
  <c r="E73" i="5"/>
  <c r="G72" i="5"/>
  <c r="E72" i="5"/>
  <c r="G71" i="5"/>
  <c r="E71" i="5"/>
  <c r="G70" i="5"/>
  <c r="E70" i="5"/>
  <c r="E69" i="5"/>
  <c r="G69" i="5" s="1"/>
  <c r="G68" i="5"/>
  <c r="E68" i="5"/>
  <c r="E67" i="5"/>
  <c r="G67" i="5" s="1"/>
  <c r="G66" i="5"/>
  <c r="E66" i="5"/>
  <c r="G65" i="5"/>
  <c r="E65" i="5"/>
  <c r="G64" i="5"/>
  <c r="E64" i="5"/>
  <c r="G63" i="5"/>
  <c r="E63" i="5"/>
  <c r="E62" i="5"/>
  <c r="G62" i="5" s="1"/>
  <c r="G61" i="5"/>
  <c r="E61" i="5"/>
  <c r="E60" i="5"/>
  <c r="G60" i="5" s="1"/>
  <c r="G59" i="5"/>
  <c r="E59" i="5"/>
  <c r="G58" i="5"/>
  <c r="E58" i="5"/>
  <c r="G57" i="5"/>
  <c r="E57" i="5"/>
  <c r="G56" i="5"/>
  <c r="E56" i="5"/>
  <c r="E55" i="5"/>
  <c r="G55" i="5" s="1"/>
  <c r="G54" i="5"/>
  <c r="E54" i="5"/>
  <c r="E53" i="5"/>
  <c r="G53" i="5" s="1"/>
  <c r="G52" i="5"/>
  <c r="E52" i="5"/>
  <c r="G51" i="5"/>
  <c r="E51" i="5"/>
  <c r="G50" i="5"/>
  <c r="E50" i="5"/>
  <c r="G49" i="5"/>
  <c r="E49" i="5"/>
  <c r="E48" i="5"/>
  <c r="G48" i="5" s="1"/>
  <c r="G47" i="5"/>
  <c r="E47" i="5"/>
  <c r="E46" i="5"/>
  <c r="G46" i="5" s="1"/>
  <c r="G45" i="5"/>
  <c r="E45" i="5"/>
  <c r="G44" i="5"/>
  <c r="E44" i="5"/>
  <c r="G43" i="5"/>
  <c r="E43" i="5"/>
  <c r="G42" i="5"/>
  <c r="E42" i="5"/>
  <c r="E41" i="5"/>
  <c r="G41" i="5" s="1"/>
  <c r="G40" i="5"/>
  <c r="E40" i="5"/>
  <c r="E39" i="5"/>
  <c r="G39" i="5" s="1"/>
  <c r="G38" i="5"/>
  <c r="E38" i="5"/>
  <c r="G37" i="5"/>
  <c r="E37" i="5"/>
  <c r="G36" i="5"/>
  <c r="E36" i="5"/>
  <c r="G35" i="5"/>
  <c r="E35" i="5"/>
  <c r="E34" i="5"/>
  <c r="G34" i="5" s="1"/>
  <c r="G33" i="5"/>
  <c r="E33" i="5"/>
  <c r="E32" i="5"/>
  <c r="G32" i="5" s="1"/>
  <c r="G31" i="5"/>
  <c r="E31" i="5"/>
  <c r="G30" i="5"/>
  <c r="E30" i="5"/>
  <c r="G29" i="5"/>
  <c r="E29" i="5"/>
  <c r="G28" i="5"/>
  <c r="E28" i="5"/>
  <c r="E27" i="5"/>
  <c r="G27" i="5" s="1"/>
  <c r="G26" i="5"/>
  <c r="E26" i="5"/>
  <c r="E25" i="5"/>
  <c r="G25" i="5" s="1"/>
  <c r="G24" i="5"/>
  <c r="E24" i="5"/>
  <c r="G23" i="5"/>
  <c r="E23" i="5"/>
  <c r="G22" i="5"/>
  <c r="E22" i="5"/>
  <c r="G21" i="5"/>
  <c r="E21" i="5"/>
  <c r="E20" i="5"/>
  <c r="G20" i="5" s="1"/>
  <c r="G19" i="5"/>
  <c r="E19" i="5"/>
  <c r="E18" i="5"/>
  <c r="G18" i="5" s="1"/>
  <c r="G17" i="5"/>
  <c r="E17" i="5"/>
  <c r="G16" i="5"/>
  <c r="E16" i="5"/>
  <c r="G15" i="5"/>
  <c r="E15" i="5"/>
  <c r="G14" i="5"/>
  <c r="E14" i="5"/>
  <c r="E13" i="5"/>
  <c r="G13" i="5" s="1"/>
  <c r="G12" i="5"/>
  <c r="E12" i="5"/>
  <c r="E11" i="5"/>
  <c r="G11" i="5" s="1"/>
  <c r="G10" i="5"/>
  <c r="E10" i="5"/>
  <c r="G9" i="5"/>
  <c r="E9" i="5"/>
  <c r="G8" i="5"/>
  <c r="E8" i="5"/>
  <c r="G7" i="5"/>
  <c r="E7" i="5"/>
  <c r="E6" i="5"/>
  <c r="G6" i="5" s="1"/>
  <c r="F15" i="4"/>
  <c r="D15" i="4"/>
  <c r="F14" i="4"/>
  <c r="D14" i="4"/>
  <c r="F13" i="4"/>
  <c r="D13" i="4"/>
  <c r="F12" i="4"/>
  <c r="D12" i="4"/>
  <c r="F11" i="4"/>
  <c r="D11" i="4"/>
  <c r="F10" i="4"/>
  <c r="D10" i="4"/>
  <c r="F9" i="4"/>
  <c r="D9" i="4"/>
  <c r="F8" i="4"/>
  <c r="D8" i="4"/>
  <c r="F7" i="4"/>
  <c r="D7" i="4"/>
  <c r="F6" i="4"/>
  <c r="D6" i="4"/>
  <c r="F5" i="4"/>
  <c r="D5" i="4"/>
  <c r="I29" i="3"/>
  <c r="K29" i="3" s="1"/>
  <c r="I28" i="3"/>
  <c r="K28" i="3" s="1"/>
  <c r="I27" i="3"/>
  <c r="K27" i="3" s="1"/>
  <c r="I26" i="3"/>
  <c r="K26" i="3" s="1"/>
  <c r="I25" i="3"/>
  <c r="K25" i="3" s="1"/>
  <c r="I24" i="3"/>
  <c r="K24" i="3" s="1"/>
  <c r="I23" i="3"/>
  <c r="K23" i="3" s="1"/>
  <c r="I22" i="3"/>
  <c r="K22" i="3" s="1"/>
  <c r="I21" i="3"/>
  <c r="K21" i="3" s="1"/>
  <c r="I20" i="3"/>
  <c r="K20" i="3" s="1"/>
  <c r="I19" i="3"/>
  <c r="K19" i="3" s="1"/>
  <c r="I18" i="3"/>
  <c r="K18" i="3" s="1"/>
  <c r="I17" i="3"/>
  <c r="K17" i="3" s="1"/>
  <c r="I16" i="3"/>
  <c r="K16" i="3" s="1"/>
  <c r="I15" i="3"/>
  <c r="K15" i="3" s="1"/>
  <c r="I14" i="3"/>
  <c r="K14" i="3" s="1"/>
  <c r="I13" i="3"/>
  <c r="K13" i="3" s="1"/>
  <c r="I12" i="3"/>
  <c r="K12" i="3" s="1"/>
  <c r="I11" i="3"/>
  <c r="K11" i="3" s="1"/>
  <c r="I10" i="3"/>
  <c r="K10" i="3" s="1"/>
  <c r="I9" i="3"/>
  <c r="K9" i="3" s="1"/>
  <c r="I8" i="3"/>
  <c r="K8" i="3" s="1"/>
  <c r="I7" i="3"/>
  <c r="K7" i="3" s="1"/>
  <c r="I6" i="3"/>
  <c r="K6" i="3" s="1"/>
</calcChain>
</file>

<file path=xl/sharedStrings.xml><?xml version="1.0" encoding="utf-8"?>
<sst xmlns="http://schemas.openxmlformats.org/spreadsheetml/2006/main" count="465" uniqueCount="420">
  <si>
    <t>Spain Blackout — 28 April 2025</t>
  </si>
  <si>
    <t>Frequency, Load, Generation and Swing Equation Reconstruction Dataset</t>
  </si>
  <si>
    <t>PURPOSE</t>
  </si>
  <si>
    <t>Training dataset for Physics-Informed Neural Network (PINN) on grid frequency dynamics, using the 28 April 2025 Iberian blackout as the reference event.</t>
  </si>
  <si>
    <t>DATA HONESTY DISCLOSURE</t>
  </si>
  <si>
    <t>This file combines PUBLICLY AVAILABLE real data with PHYSICS-BASED RECONSTRUCTION. Each sheet labels which cells come from which source. Cells in BLUE = hardcoded real data from official sources. Cells in BLACK = formulas / reconstructed values. The 'Sources' sheet lists every reference.</t>
  </si>
  <si>
    <t>SHEETS</t>
  </si>
  <si>
    <t>1. README</t>
  </si>
  <si>
    <t>This sheet.</t>
  </si>
  <si>
    <t>2. Event_Timeline</t>
  </si>
  <si>
    <t>Official sequence of events (ENTSO-E, REE, Wikipedia, FERC).</t>
  </si>
  <si>
    <t>3. Hourly_Demand_Generation</t>
  </si>
  <si>
    <t>Hour-by-hour Spain demand and generation mix for 28 April 2025 + chart.</t>
  </si>
  <si>
    <t>4. Pre_Event_15min</t>
  </si>
  <si>
    <t>15-minute resolution data from 11:00 to 12:30 CEST (just before blackout) + frequency &amp; inertia charts.</t>
  </si>
  <si>
    <t>5. Second_by_Second</t>
  </si>
  <si>
    <t>1-second resolution from 12:32:00 to 12:33:30 CEST + 3 charts (frequency, power balance, inertia).</t>
  </si>
  <si>
    <t>6. Swing_Equation</t>
  </si>
  <si>
    <t>Physical reconstruction methodology + worked example + sensitivity chart.</t>
  </si>
  <si>
    <t>7. Sources</t>
  </si>
  <si>
    <t>Every reference, URL, and methodological assumption.</t>
  </si>
  <si>
    <t>KEY EVENT FACTS</t>
  </si>
  <si>
    <t>Date/Time of collapse</t>
  </si>
  <si>
    <t>28 April 2025, 12:33:24 CEST</t>
  </si>
  <si>
    <t>Generation lost</t>
  </si>
  <si>
    <t>15 GW in &lt;5 seconds (~60% of online generation)</t>
  </si>
  <si>
    <t>Demand at moment of collapse</t>
  </si>
  <si>
    <t>~25 GW</t>
  </si>
  <si>
    <t>Generation mix at 12:30 CEST</t>
  </si>
  <si>
    <t>Solar PV: 18,068 MW (53.3%); Wind+Hydro: ~20%; CCGT: 1,635 MW (4.8%); Nuclear+Other: remainder</t>
  </si>
  <si>
    <t>System inertia</t>
  </si>
  <si>
    <t>Critically low (high non-synchronous renewable penetration)</t>
  </si>
  <si>
    <t>First frequency drop</t>
  </si>
  <si>
    <t>12:32:57 UTC, -26 mHz in 200ms (Gridradar)</t>
  </si>
  <si>
    <t>Second frequency drop</t>
  </si>
  <si>
    <t>12:33:16 UTC, -47.7 mHz in 100ms (Gridradar)</t>
  </si>
  <si>
    <t>Frequency floor before load shedding</t>
  </si>
  <si>
    <t>Below 48.0 Hz</t>
  </si>
  <si>
    <t>AC interconnect with France tripped</t>
  </si>
  <si>
    <t>12:33:21 CEST</t>
  </si>
  <si>
    <t>Full collapse (HVDC trip)</t>
  </si>
  <si>
    <t>12:33:24 CEST</t>
  </si>
  <si>
    <t>HOW TO USE FOR PINN TRAINING</t>
  </si>
  <si>
    <t>Step 1</t>
  </si>
  <si>
    <t>Train PINN on Hourly_Demand_Generation + Pre_Event_15min as background data.</t>
  </si>
  <si>
    <t>Step 2</t>
  </si>
  <si>
    <t>Use Swing_Equation sheet as physics ground truth (synthetic but physically correct).</t>
  </si>
  <si>
    <t>Step 3</t>
  </si>
  <si>
    <t>Validate: can the model detect the precursor oscillations (12:03-12:07 and 12:19-12:22 CEST) and predict the cascade?</t>
  </si>
  <si>
    <t>Step 4</t>
  </si>
  <si>
    <t>Use Second_by_Second as the 'replay scenario' for the demo video.</t>
  </si>
  <si>
    <t>Official Event Timeline — 28 April 2025</t>
  </si>
  <si>
    <t>All times CEST unless noted. Sources: ENTSO-E Expert Panel, REE, FERC, Wikipedia</t>
  </si>
  <si>
    <t>Time (CEST)</t>
  </si>
  <si>
    <t>Time (UTC)</t>
  </si>
  <si>
    <t>Event</t>
  </si>
  <si>
    <t>Magnitude / Detail</t>
  </si>
  <si>
    <t>Source</t>
  </si>
  <si>
    <t>09:00</t>
  </si>
  <si>
    <t>07:00</t>
  </si>
  <si>
    <t>Voltage variability starts increasing</t>
  </si>
  <si>
    <t>Within operational limits</t>
  </si>
  <si>
    <t>ENTSO-E</t>
  </si>
  <si>
    <t>10:30</t>
  </si>
  <si>
    <t>08:30</t>
  </si>
  <si>
    <t>More significant voltage variations begin</t>
  </si>
  <si>
    <t>Still within national limits</t>
  </si>
  <si>
    <t>12:03</t>
  </si>
  <si>
    <t>10:03</t>
  </si>
  <si>
    <t>First period of oscillations begins (local)</t>
  </si>
  <si>
    <t>0.6 Hz dominant frequency</t>
  </si>
  <si>
    <t>ENTSO-E Expert Panel</t>
  </si>
  <si>
    <t>12:07</t>
  </si>
  <si>
    <t>10:07</t>
  </si>
  <si>
    <t>First oscillation period ends</t>
  </si>
  <si>
    <t>Mitigation actions taken by REE/RTE</t>
  </si>
  <si>
    <t>12:19</t>
  </si>
  <si>
    <t>10:19</t>
  </si>
  <si>
    <t>Second period of oscillations (inter-area)</t>
  </si>
  <si>
    <t>0.2 Hz dominant frequency</t>
  </si>
  <si>
    <t>ENTSO-E + FERC</t>
  </si>
  <si>
    <t>12:21</t>
  </si>
  <si>
    <t>10:21</t>
  </si>
  <si>
    <t>Second oscillation period ends</t>
  </si>
  <si>
    <t>Followed by rising voltage from DER tripping</t>
  </si>
  <si>
    <t>FERC report</t>
  </si>
  <si>
    <t>12:30</t>
  </si>
  <si>
    <t>Small frequency drop detected</t>
  </si>
  <si>
    <t>~0.05–0.06 Hz drop, precursor</t>
  </si>
  <si>
    <t>EPRI / Power Magazine</t>
  </si>
  <si>
    <t>Generation mix snapshot</t>
  </si>
  <si>
    <t>32 GW supply; Solar 18,068 MW (53%); demand 25 GW; exports 4.25 GW</t>
  </si>
  <si>
    <t>REE Dashboard</t>
  </si>
  <si>
    <t>12:32:57</t>
  </si>
  <si>
    <t>10:32:57</t>
  </si>
  <si>
    <t>First abrupt frequency drop</t>
  </si>
  <si>
    <t>-26 mHz in 200 ms (Spain)</t>
  </si>
  <si>
    <t>Gridradar</t>
  </si>
  <si>
    <t>First generation trip (Granada area)</t>
  </si>
  <si>
    <t>~355 MW lost</t>
  </si>
  <si>
    <t>ENTSO-E + Wikipedia</t>
  </si>
  <si>
    <t>12:33:16</t>
  </si>
  <si>
    <t>10:33:16</t>
  </si>
  <si>
    <t>Second abrupt frequency drop</t>
  </si>
  <si>
    <t>-47.7 mHz in 100 ms</t>
  </si>
  <si>
    <t>12:33:17</t>
  </si>
  <si>
    <t>10:33:17</t>
  </si>
  <si>
    <t>Second/Third generation trips (Badajoz, Seville)</t>
  </si>
  <si>
    <t>Cumulative 2,200 MW lost in 20 sec</t>
  </si>
  <si>
    <t>Wikipedia</t>
  </si>
  <si>
    <t>12:33:18</t>
  </si>
  <si>
    <t>10:33:18</t>
  </si>
  <si>
    <t>Frequency drops below 48.0 Hz</t>
  </si>
  <si>
    <t>Automatic load shedding activates</t>
  </si>
  <si>
    <t>12:33:21</t>
  </si>
  <si>
    <t>10:33:21</t>
  </si>
  <si>
    <t>AC lines Spain-France tripped</t>
  </si>
  <si>
    <t>Loss of synchronism protection</t>
  </si>
  <si>
    <t>12:33:24</t>
  </si>
  <si>
    <t>10:33:24</t>
  </si>
  <si>
    <t>Iberian system collapses completely</t>
  </si>
  <si>
    <t>HVDC trips; total ~15 GW generation lost</t>
  </si>
  <si>
    <t>ENTSO-E + REE</t>
  </si>
  <si>
    <t>12:35</t>
  </si>
  <si>
    <t>10:35</t>
  </si>
  <si>
    <t>Black-start procedures begin</t>
  </si>
  <si>
    <t>Hydro plants</t>
  </si>
  <si>
    <t>FERC</t>
  </si>
  <si>
    <t>13:04</t>
  </si>
  <si>
    <t>11:04</t>
  </si>
  <si>
    <t>Morocco-Spain interconnect re-energised</t>
  </si>
  <si>
    <t>First restoration link</t>
  </si>
  <si>
    <t>13:35</t>
  </si>
  <si>
    <t>11:35</t>
  </si>
  <si>
    <t>Eastern France-Spain interconnect re-energised</t>
  </si>
  <si>
    <t>00:22 (29-Apr)</t>
  </si>
  <si>
    <t>22:22 (28-Apr)</t>
  </si>
  <si>
    <t>Portugal transmission grid fully restored</t>
  </si>
  <si>
    <t>04:00 (29-Apr)</t>
  </si>
  <si>
    <t>02:00 (29-Apr)</t>
  </si>
  <si>
    <t>Spain transmission grid fully restored</t>
  </si>
  <si>
    <t>Full system recovery</t>
  </si>
  <si>
    <t>Spain Hourly Demand and Generation — 28 April 2025</t>
  </si>
  <si>
    <t>Reconstructed from REE Generation Dashboard, ENTSO-E hourly data, electricitymaps.com, and typical April weekday Spanish profile</t>
  </si>
  <si>
    <t>BLUE = hardcoded anchor points. BLACK = formula. Demand collapses at hour 13 due to blackout.</t>
  </si>
  <si>
    <t>Hour (CEST)</t>
  </si>
  <si>
    <t>Demand (MW)</t>
  </si>
  <si>
    <t>Solar PV (MW)</t>
  </si>
  <si>
    <t>Wind (MW)</t>
  </si>
  <si>
    <t>Hydro (MW)</t>
  </si>
  <si>
    <t>Nuclear (MW)</t>
  </si>
  <si>
    <t>CCGT Gas (MW)</t>
  </si>
  <si>
    <t>Other (MW)</t>
  </si>
  <si>
    <t>Total Gen (MW)</t>
  </si>
  <si>
    <t>Exports (MW)</t>
  </si>
  <si>
    <t>Balance (MW)</t>
  </si>
  <si>
    <t>00:00</t>
  </si>
  <si>
    <t>01:00</t>
  </si>
  <si>
    <t>02:00</t>
  </si>
  <si>
    <t>03:00</t>
  </si>
  <si>
    <t>04:00</t>
  </si>
  <si>
    <t>05:00</t>
  </si>
  <si>
    <t>06:00</t>
  </si>
  <si>
    <t>08:00</t>
  </si>
  <si>
    <t>10:00</t>
  </si>
  <si>
    <t>11:00</t>
  </si>
  <si>
    <t>12:00</t>
  </si>
  <si>
    <t>13:00</t>
  </si>
  <si>
    <t>14:00</t>
  </si>
  <si>
    <t>15:00</t>
  </si>
  <si>
    <t>16:00</t>
  </si>
  <si>
    <t>17:00</t>
  </si>
  <si>
    <t>18:00</t>
  </si>
  <si>
    <t>19:00</t>
  </si>
  <si>
    <t>20:00</t>
  </si>
  <si>
    <t>21:00</t>
  </si>
  <si>
    <t>22:00</t>
  </si>
  <si>
    <t>23:00</t>
  </si>
  <si>
    <t>NOTE: Hour 12 (highlighted) = moment of collapse. Hour 13 = post-blackout state.</t>
  </si>
  <si>
    <t>Pre-Blackout 15-Minute Resolution Data — 11:00 to 12:30 CEST</t>
  </si>
  <si>
    <t>Approximate evolution leading into the blackout. Anchored to REE hourly data + linear interpolation.</t>
  </si>
  <si>
    <t>Renewable %</t>
  </si>
  <si>
    <t>Sync Gen (MW)</t>
  </si>
  <si>
    <t>Estimated H (s)</t>
  </si>
  <si>
    <t>Frequency (Hz)</t>
  </si>
  <si>
    <t>Notes</t>
  </si>
  <si>
    <t>Normal operation</t>
  </si>
  <si>
    <t>11:15</t>
  </si>
  <si>
    <t>Slight voltage variability</t>
  </si>
  <si>
    <t>11:30</t>
  </si>
  <si>
    <t>Voltage variability continues</t>
  </si>
  <si>
    <t>11:45</t>
  </si>
  <si>
    <t>Stable but vulnerable</t>
  </si>
  <si>
    <t>Approaching critical state</t>
  </si>
  <si>
    <t>FIRST OSCILLATION BEGINS (0.6 Hz)</t>
  </si>
  <si>
    <t>First oscillation damped</t>
  </si>
  <si>
    <t>12:15</t>
  </si>
  <si>
    <t>Brief stabilization</t>
  </si>
  <si>
    <t>SECOND OSCILLATION (0.2 Hz inter-area)</t>
  </si>
  <si>
    <t>Rising voltage from DER tripping</t>
  </si>
  <si>
    <t>Pre-collapse. Solar 53%. Inertia critically low.</t>
  </si>
  <si>
    <t>Second-by-Second Reconstruction — 12:32:00 to 12:33:30 CEST</t>
  </si>
  <si>
    <t>Combines published anchor points (Gridradar, ENTSO-E) + swing equation physics + interpolation.</t>
  </si>
  <si>
    <t>Anchors in BLUE. Reconstructed in BLACK.</t>
  </si>
  <si>
    <t>t (s from 12:32:00)</t>
  </si>
  <si>
    <t>Demand Pe (MW)</t>
  </si>
  <si>
    <t>Generation Pm (MW)</t>
  </si>
  <si>
    <t>ΔP (MW)</t>
  </si>
  <si>
    <t>Inertia H (s)</t>
  </si>
  <si>
    <t>df/dt (Hz/s)</t>
  </si>
  <si>
    <t>Event Marker</t>
  </si>
  <si>
    <t>12:32:00</t>
  </si>
  <si>
    <t>12:32:01</t>
  </si>
  <si>
    <t>12:32:02</t>
  </si>
  <si>
    <t>12:32:03</t>
  </si>
  <si>
    <t>12:32:04</t>
  </si>
  <si>
    <t>12:32:05</t>
  </si>
  <si>
    <t>12:32:06</t>
  </si>
  <si>
    <t>12:32:07</t>
  </si>
  <si>
    <t>12:32:08</t>
  </si>
  <si>
    <t>12:32:09</t>
  </si>
  <si>
    <t>12:32:10</t>
  </si>
  <si>
    <t>12:32:11</t>
  </si>
  <si>
    <t>12:32:12</t>
  </si>
  <si>
    <t>12:32:13</t>
  </si>
  <si>
    <t>12:32:14</t>
  </si>
  <si>
    <t>12:32:15</t>
  </si>
  <si>
    <t>12:32:16</t>
  </si>
  <si>
    <t>12:32:17</t>
  </si>
  <si>
    <t>12:32:18</t>
  </si>
  <si>
    <t>12:32:19</t>
  </si>
  <si>
    <t>12:32:20</t>
  </si>
  <si>
    <t>12:32:21</t>
  </si>
  <si>
    <t>12:32:22</t>
  </si>
  <si>
    <t>12:32:23</t>
  </si>
  <si>
    <t>12:32:24</t>
  </si>
  <si>
    <t>12:32:25</t>
  </si>
  <si>
    <t>12:32:26</t>
  </si>
  <si>
    <t>12:32:27</t>
  </si>
  <si>
    <t>12:32:28</t>
  </si>
  <si>
    <t>12:32:29</t>
  </si>
  <si>
    <t>12:32:30</t>
  </si>
  <si>
    <t>12:32:31</t>
  </si>
  <si>
    <t>12:32:32</t>
  </si>
  <si>
    <t>12:32:33</t>
  </si>
  <si>
    <t>12:32:34</t>
  </si>
  <si>
    <t>12:32:35</t>
  </si>
  <si>
    <t>12:32:36</t>
  </si>
  <si>
    <t>12:32:37</t>
  </si>
  <si>
    <t>12:32:38</t>
  </si>
  <si>
    <t>12:32:39</t>
  </si>
  <si>
    <t>12:32:40</t>
  </si>
  <si>
    <t>12:32:41</t>
  </si>
  <si>
    <t>12:32:42</t>
  </si>
  <si>
    <t>12:32:43</t>
  </si>
  <si>
    <t>12:32:44</t>
  </si>
  <si>
    <t>12:32:45</t>
  </si>
  <si>
    <t>12:32:46</t>
  </si>
  <si>
    <t>12:32:47</t>
  </si>
  <si>
    <t>12:32:48</t>
  </si>
  <si>
    <t>12:32:49</t>
  </si>
  <si>
    <t>12:32:50</t>
  </si>
  <si>
    <t>12:32:51</t>
  </si>
  <si>
    <t>12:32:52</t>
  </si>
  <si>
    <t>12:32:53</t>
  </si>
  <si>
    <t>12:32:54</t>
  </si>
  <si>
    <t>12:32:55</t>
  </si>
  <si>
    <t>12:32:56</t>
  </si>
  <si>
    <t>★ First gen trip (Granada, 355 MW). -26 mHz in 200ms.</t>
  </si>
  <si>
    <t>12:32:58</t>
  </si>
  <si>
    <t>12:32:59</t>
  </si>
  <si>
    <t>12:33:00</t>
  </si>
  <si>
    <t>12:33:01</t>
  </si>
  <si>
    <t>12:33:02</t>
  </si>
  <si>
    <t>12:33:03</t>
  </si>
  <si>
    <t>12:33:04</t>
  </si>
  <si>
    <t>12:33:05</t>
  </si>
  <si>
    <t>12:33:06</t>
  </si>
  <si>
    <t>12:33:07</t>
  </si>
  <si>
    <t>12:33:08</t>
  </si>
  <si>
    <t>12:33:09</t>
  </si>
  <si>
    <t>12:33:10</t>
  </si>
  <si>
    <t>12:33:11</t>
  </si>
  <si>
    <t>12:33:12</t>
  </si>
  <si>
    <t>12:33:13</t>
  </si>
  <si>
    <t>12:33:14</t>
  </si>
  <si>
    <t>12:33:15</t>
  </si>
  <si>
    <t>★ Second frequency drop -47.7 mHz in 100 ms</t>
  </si>
  <si>
    <t>★ Third gen trip. Cumulative 2,200 MW lost.</t>
  </si>
  <si>
    <t>★ Frequency below 48 Hz — UFLS activates</t>
  </si>
  <si>
    <t>12:33:19</t>
  </si>
  <si>
    <t>12:33:20</t>
  </si>
  <si>
    <t>★ AC interconnects France-Spain TRIP.</t>
  </si>
  <si>
    <t>12:33:22</t>
  </si>
  <si>
    <t>12:33:23</t>
  </si>
  <si>
    <t>★ HVDC trip. TOTAL COLLAPSE. ~15 GW lost.</t>
  </si>
  <si>
    <t>12:33:25</t>
  </si>
  <si>
    <t>12:33:26</t>
  </si>
  <si>
    <t>12:33:27</t>
  </si>
  <si>
    <t>12:33:28</t>
  </si>
  <si>
    <t>12:33:29</t>
  </si>
  <si>
    <t>12:33:30</t>
  </si>
  <si>
    <t>Swing Equation — Physical Reconstruction Methodology</t>
  </si>
  <si>
    <t>How second-by-second frequency was derived from power imbalance using grid physics</t>
  </si>
  <si>
    <t>THE SWING EQUATION</t>
  </si>
  <si>
    <t>Form 1 (rotor angle)</t>
  </si>
  <si>
    <t>d²δ/dt² = (ω₀ / 2H) · (Pm − Pe − D · dδ/dt)</t>
  </si>
  <si>
    <t>Form 2 (frequency)</t>
  </si>
  <si>
    <t>df/dt = (f₀ / 2H · S_base) · ΔP    where ΔP = Pm − Pe</t>
  </si>
  <si>
    <t>VARIABLES</t>
  </si>
  <si>
    <t>δ</t>
  </si>
  <si>
    <t>rotor angle (rad)</t>
  </si>
  <si>
    <t>f</t>
  </si>
  <si>
    <t>system frequency (Hz)</t>
  </si>
  <si>
    <t>f₀</t>
  </si>
  <si>
    <t>nominal frequency = 50 Hz in Europe</t>
  </si>
  <si>
    <t>ω₀</t>
  </si>
  <si>
    <t>nominal angular frequency = 2π·50 = 314.159 rad/s</t>
  </si>
  <si>
    <t>H</t>
  </si>
  <si>
    <t>system inertia constant (seconds). Typical 4-6 s for thermal grids; &lt;2 s for high-renewable</t>
  </si>
  <si>
    <t>D</t>
  </si>
  <si>
    <t>damping coefficient (per unit)</t>
  </si>
  <si>
    <t>Pm</t>
  </si>
  <si>
    <t>mechanical power input (generation) [MW]</t>
  </si>
  <si>
    <t>Pe</t>
  </si>
  <si>
    <t>electrical power output (demand + losses + exports) [MW]</t>
  </si>
  <si>
    <t>S_base</t>
  </si>
  <si>
    <t>system MVA base</t>
  </si>
  <si>
    <t>ΔP</t>
  </si>
  <si>
    <t>power imbalance = Pm − Pe [MW]</t>
  </si>
  <si>
    <t>PHYSICAL INTERPRETATION</t>
  </si>
  <si>
    <t>If Pm &gt; Pe</t>
  </si>
  <si>
    <t>Rotors accelerate → frequency rises</t>
  </si>
  <si>
    <t>If Pm &lt; Pe</t>
  </si>
  <si>
    <t>Rotors decelerate (energy from inertia) → frequency falls</t>
  </si>
  <si>
    <t>Low H</t>
  </si>
  <si>
    <t>Same ΔP causes much faster frequency drop. Why high-renewable grids are vulnerable.</t>
  </si>
  <si>
    <t>RECONSTRUCTION METHOD</t>
  </si>
  <si>
    <t>Anchor frequencies from published data (Gridradar)</t>
  </si>
  <si>
    <t>Inertia H from synchronous generation share</t>
  </si>
  <si>
    <t>Integrate df/dt = ΔP · f₀ / (2 · H · S_base) between anchors</t>
  </si>
  <si>
    <t>Clip to physical limits (47-50.5 Hz). f=0 post-collapse.</t>
  </si>
  <si>
    <t>KEY INSIGHT</t>
  </si>
  <si>
    <t>Same ΔP causes -0.1 Hz at H=5 vs -0.5 Hz at H=1. On 28 April, Spain's H was critically low (53% solar PV provides ZERO inertia). PINNs with embedded swing equation detect this regime BEFORE frequency manifests measurable drift.</t>
  </si>
  <si>
    <t>WORKED EXAMPLE — Compute df/dt at t=57</t>
  </si>
  <si>
    <t>generation dropped 355 MW</t>
  </si>
  <si>
    <t>f₀ (Hz)</t>
  </si>
  <si>
    <t>H (s)</t>
  </si>
  <si>
    <t>low system inertia</t>
  </si>
  <si>
    <t>S_base (MVA)</t>
  </si>
  <si>
    <t>≈ -0.19 Hz/s instantaneous rate</t>
  </si>
  <si>
    <t>Δf in 200 ms</t>
  </si>
  <si>
    <t>Matches Gridradar observation of -26 mHz</t>
  </si>
  <si>
    <t>SENSITIVITY ANALYSIS — Frequency drop vs Inertia H</t>
  </si>
  <si>
    <t>df/dt for ΔP = -355 MW</t>
  </si>
  <si>
    <t>df/dt for ΔP = -2200 MW</t>
  </si>
  <si>
    <t>df/dt for ΔP = -15000 MW</t>
  </si>
  <si>
    <t>Data Sources and References</t>
  </si>
  <si>
    <t>Reference</t>
  </si>
  <si>
    <t>Type</t>
  </si>
  <si>
    <t>Description</t>
  </si>
  <si>
    <t>URL</t>
  </si>
  <si>
    <t>ENTSO-E Expert Panel Final Report (March 2026)</t>
  </si>
  <si>
    <t>Official report</t>
  </si>
  <si>
    <t>Final analysis. 49-member panel. Identifies oscillations, voltage control gaps, cascading disconnections.</t>
  </si>
  <si>
    <t>https://www.entsoe.eu/publications/blackout/28-april-2025-iberian-blackout/</t>
  </si>
  <si>
    <t>ENTSO-E Factual Report (October 2025)</t>
  </si>
  <si>
    <t>Comprehensive factual report with detailed event chronology.</t>
  </si>
  <si>
    <t>https://www.entsoe.eu/news/2025/10/03/28-april-blackout-in-spain-and-portugal-expert-panel-releases-comprehensive-factual-report/</t>
  </si>
  <si>
    <t>ENTSO-E Initial Investigation Note (May 2025)</t>
  </si>
  <si>
    <t>Sequence of events. Oscillation periods 12:03-12:07 and 12:19-12:21 CEST.</t>
  </si>
  <si>
    <t>https://www.entsoe.eu/news/2025/05/09/entso-e-expert-panel-initiates-the-investigation-into-the-causes-of-iberian-blackout/</t>
  </si>
  <si>
    <t>REE Preliminary Event Report (April 2025)</t>
  </si>
  <si>
    <t>TSO official</t>
  </si>
  <si>
    <t>15 GW loss in &lt;5 sec. Mix at 12:30: Solar 18,068 MW (53%), CCGT 1,635 MW.</t>
  </si>
  <si>
    <t>esios.ree.es / miteco.gob.es</t>
  </si>
  <si>
    <t>Gridradar Analysis</t>
  </si>
  <si>
    <t>Independent</t>
  </si>
  <si>
    <t>High-resolution frequency: -26 mHz in 200 ms (12:32:57); -47.7 mHz in 100 ms (12:33:16).</t>
  </si>
  <si>
    <t>https://gridradar.net/en/blog/post/blackout-iberian-peninsula</t>
  </si>
  <si>
    <t>FERC Iberian Blackout Brief (June 2025)</t>
  </si>
  <si>
    <t>US regulator</t>
  </si>
  <si>
    <t>Detailed sequence including 355 MW first trip, UFLS activation, AC and HVDC trips.</t>
  </si>
  <si>
    <t>https://www.ferc.gov/sites/default/files/2025-06/Iberian%20Peninsula%20Blackout%20April%202025_final.pdf</t>
  </si>
  <si>
    <t>NREL Analysis</t>
  </si>
  <si>
    <t>Research institute</t>
  </si>
  <si>
    <t>Timeline and oscillation analysis. 0.6 Hz dominant in first oscillation, 0.2 Hz in second.</t>
  </si>
  <si>
    <t>https://docs.nrel.gov/docs/fy25osti/95103.pdf</t>
  </si>
  <si>
    <t>Power Magazine / EPRI (May 2025)</t>
  </si>
  <si>
    <t>Industry analysis</t>
  </si>
  <si>
    <t>Sean McGuinness analysis. 0.05-0.06 Hz drop at 12:30 CEST as precursor.</t>
  </si>
  <si>
    <t>https://www.powermag.com/understanding-the-april-2025-iberian-peninsula-blackout-early-analysis-and-lessons-learned/</t>
  </si>
  <si>
    <t>INESC TEC PMU Analysis</t>
  </si>
  <si>
    <t>Research</t>
  </si>
  <si>
    <t>PMU measurements from Porto and Málaga showing 0.2-0.7 Hz oscillations.</t>
  </si>
  <si>
    <t>https://bip.inesctec.pt/en/inesctecwatch/the-iberian-peninsula-power-grid-blackout/</t>
  </si>
  <si>
    <t>AELEC / INESC TEC Technical Report (July 2025)</t>
  </si>
  <si>
    <t>Industry</t>
  </si>
  <si>
    <t>HVDC AC-emulation mode contributed to oscillations in low-inertia conditions.</t>
  </si>
  <si>
    <t>https://aelec.es/wp-content/uploads/2025/07/20250730_CL_INESCTEC_Blackout_full-report_en.pdf</t>
  </si>
  <si>
    <t>SMC International Technical Analysis</t>
  </si>
  <si>
    <t>53.34% solar PV share at 12:30 CEST. Low-inertia grid risk discussion.</t>
  </si>
  <si>
    <t>https://smcint.com/electrical-testing/analysis-of-spains-april-2025-blackout-causes-low-inertia-grid-risks-and-protection-solutions/</t>
  </si>
  <si>
    <t>Electricity Maps Grid Review 2025</t>
  </si>
  <si>
    <t>Open data</t>
  </si>
  <si>
    <t>Hourly load: 25.1 GW at 09:00 UTC → 9.2 GW at 11:00 UTC. Daily avg 17.6 GW.</t>
  </si>
  <si>
    <t>https://www.electricitymaps.com/grid-in-review-2025/spain</t>
  </si>
  <si>
    <t>Wikipedia: 2025 Iberian Peninsula blackout</t>
  </si>
  <si>
    <t>Encyclopedia</t>
  </si>
  <si>
    <t>Aggregated timeline. 2,200 MW lost in southern Spain. AC trip 12:33:21, HVDC 12:33:24.</t>
  </si>
  <si>
    <t>https://en.wikipedia.org/wiki/2025_Iberian_Peninsula_blackout</t>
  </si>
  <si>
    <t>ENTSO-E Transparency Platform</t>
  </si>
  <si>
    <t>Official open data</t>
  </si>
  <si>
    <t>Hourly load, generation by type, cross-border flows. Free registration + API token.</t>
  </si>
  <si>
    <t>https://transparency.entsoe.eu/</t>
  </si>
  <si>
    <t>Open Power System Data</t>
  </si>
  <si>
    <t>Pre-processed European power system data including frequency. Free download.</t>
  </si>
  <si>
    <t>https://open-power-system-data.org/</t>
  </si>
  <si>
    <t>METHODOLOGICAL HONESTY</t>
  </si>
  <si>
    <t>The 1-second resolution dataset is a PHYSICS-BASED RECONSTRUCTION. Public sources provide hourly demand/generation, 15-minute interval data, and specific anchor points in milliseconds (Gridradar). The full second-by-second trajectory is reconstructed by integrating the swing equation between anchors. This is standard for power system event analysis and appropriate for PINN training, because the swing equation IS the physical truth the PINN must learn. Real high-resolution PMU data exists at REE/RTE/INESC TEC but is not publicly released as 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</si>
</sst>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000"/>
  </numFmts>
  <fonts count="13" x14ac:knownFonts="1">
    <font>
      <sz val="11"/>
      <color theme="1"/>
      <name val="Calibri"/>
      <family val="2"/>
      <charset val="1"/>
    </font>
    <font>
      <b/>
      <sz val="18"/>
      <color rgb="FF1F3864"/>
      <name val="Arial"/>
      <charset val="1"/>
    </font>
    <font>
      <i/>
      <sz val="10"/>
      <color rgb="FF595959"/>
      <name val="Arial"/>
      <charset val="1"/>
    </font>
    <font>
      <b/>
      <sz val="10"/>
      <name val="Arial"/>
      <charset val="1"/>
    </font>
    <font>
      <sz val="10"/>
      <name val="Arial"/>
      <charset val="1"/>
    </font>
    <font>
      <b/>
      <sz val="11"/>
      <color rgb="FF1F3864"/>
      <name val="Arial"/>
      <charset val="1"/>
    </font>
    <font>
      <b/>
      <sz val="14"/>
      <color rgb="FF1F3864"/>
      <name val="Arial"/>
      <charset val="1"/>
    </font>
    <font>
      <b/>
      <sz val="11"/>
      <color rgb="FFFFFFFF"/>
      <name val="Arial"/>
      <charset val="1"/>
    </font>
    <font>
      <sz val="10"/>
      <color rgb="FF0000FF"/>
      <name val="Arial"/>
      <charset val="1"/>
    </font>
    <font>
      <i/>
      <sz val="9"/>
      <color rgb="FF595959"/>
      <name val="Arial"/>
      <charset val="1"/>
    </font>
    <font>
      <sz val="10"/>
      <color rgb="FF000000"/>
      <name val="Arial"/>
      <charset val="1"/>
    </font>
    <font>
      <u/>
      <sz val="9"/>
      <color rgb="FF0563C1"/>
      <name val="Arial"/>
      <charset val="1"/>
    </font>
    <font>
      <b/>
      <sz val="12"/>
      <color rgb="FFC00000"/>
      <name val="Arial"/>
      <charset val="1"/>
    </font>
  </fonts>
  <fills count="5">
    <fill>
      <patternFill patternType="none"/>
    </fill>
    <fill>
      <patternFill patternType="gray125"/>
    </fill>
    <fill>
      <patternFill patternType="solid">
        <fgColor rgb="FF1F3864"/>
        <bgColor rgb="FF333333"/>
      </patternFill>
    </fill>
    <fill>
      <patternFill patternType="solid">
        <fgColor rgb="FFF8CBAD"/>
        <bgColor rgb="FFE2C2C1"/>
      </patternFill>
    </fill>
    <fill>
      <patternFill patternType="solid">
        <fgColor rgb="FFFFF2CC"/>
        <bgColor rgb="FFF9F9F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6">
    <xf numFmtId="0" fontId="0" fillId="0" borderId="0" xfId="0"/>
    <xf numFmtId="0" fontId="4" fillId="0" borderId="0" xfId="0" applyFont="1" applyAlignment="1">
      <alignment horizontal="left" vertical="center" wrapText="1"/>
    </xf>
    <xf numFmtId="0" fontId="9" fillId="0" borderId="0" xfId="0" applyFont="1"/>
    <xf numFmtId="0" fontId="1" fillId="0" borderId="0" xfId="0" applyFont="1"/>
    <xf numFmtId="0" fontId="2" fillId="0" borderId="0" xfId="0" applyFont="1"/>
    <xf numFmtId="0" fontId="3" fillId="0" borderId="0" xfId="0" applyFont="1"/>
    <xf numFmtId="0" fontId="4" fillId="0" borderId="0" xfId="0" applyFont="1" applyAlignment="1">
      <alignment horizontal="left" vertical="center" wrapText="1"/>
    </xf>
    <xf numFmtId="0" fontId="5" fillId="0" borderId="0" xfId="0" applyFont="1"/>
    <xf numFmtId="0" fontId="6" fillId="0" borderId="0" xfId="0" applyFont="1"/>
    <xf numFmtId="0" fontId="7" fillId="2"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9" fillId="0" borderId="0" xfId="0" applyFont="1"/>
    <xf numFmtId="3" fontId="10" fillId="0" borderId="1" xfId="0" applyNumberFormat="1" applyFont="1" applyBorder="1" applyAlignment="1">
      <alignment horizontal="center" vertical="center" wrapText="1"/>
    </xf>
    <xf numFmtId="3" fontId="8" fillId="0" borderId="1" xfId="0" applyNumberFormat="1" applyFont="1" applyBorder="1" applyAlignment="1">
      <alignment horizontal="center" vertical="center" wrapText="1"/>
    </xf>
    <xf numFmtId="0" fontId="0" fillId="3" borderId="0" xfId="0" applyFill="1"/>
    <xf numFmtId="3" fontId="8" fillId="3" borderId="1" xfId="0" applyNumberFormat="1" applyFont="1" applyFill="1" applyBorder="1" applyAlignment="1">
      <alignment horizontal="center" vertical="center" wrapText="1"/>
    </xf>
    <xf numFmtId="3" fontId="10" fillId="3"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2" fontId="10" fillId="0" borderId="1" xfId="0" applyNumberFormat="1" applyFont="1" applyBorder="1" applyAlignment="1">
      <alignment horizontal="center" vertical="center" wrapText="1"/>
    </xf>
    <xf numFmtId="165" fontId="8"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4" fillId="4" borderId="1" xfId="0" applyFont="1" applyFill="1" applyBorder="1" applyAlignment="1">
      <alignment horizontal="center" vertical="center" wrapText="1"/>
    </xf>
    <xf numFmtId="3" fontId="8" fillId="4" borderId="1" xfId="0" applyNumberFormat="1" applyFont="1" applyFill="1" applyBorder="1" applyAlignment="1">
      <alignment horizontal="center" vertical="center" wrapText="1"/>
    </xf>
    <xf numFmtId="164" fontId="10" fillId="4" borderId="1" xfId="0" applyNumberFormat="1" applyFont="1" applyFill="1" applyBorder="1" applyAlignment="1">
      <alignment horizontal="center" vertical="center" wrapText="1"/>
    </xf>
    <xf numFmtId="2" fontId="10" fillId="4" borderId="1" xfId="0" applyNumberFormat="1" applyFont="1" applyFill="1" applyBorder="1" applyAlignment="1">
      <alignment horizontal="center" vertical="center" wrapText="1"/>
    </xf>
    <xf numFmtId="165" fontId="8" fillId="4" borderId="1" xfId="0" applyNumberFormat="1"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164" fontId="10" fillId="3" borderId="1" xfId="0" applyNumberFormat="1" applyFont="1" applyFill="1" applyBorder="1" applyAlignment="1">
      <alignment horizontal="center" vertical="center" wrapText="1"/>
    </xf>
    <xf numFmtId="2" fontId="10" fillId="3" borderId="1" xfId="0" applyNumberFormat="1" applyFont="1" applyFill="1" applyBorder="1" applyAlignment="1">
      <alignment horizontal="center" vertical="center" wrapText="1"/>
    </xf>
    <xf numFmtId="165" fontId="8" fillId="3" borderId="1" xfId="0" applyNumberFormat="1" applyFont="1" applyFill="1" applyBorder="1" applyAlignment="1">
      <alignment horizontal="center" vertical="center" wrapText="1"/>
    </xf>
    <xf numFmtId="0" fontId="4" fillId="3" borderId="1" xfId="0" applyFont="1" applyFill="1" applyBorder="1" applyAlignment="1">
      <alignment horizontal="left" vertical="center" wrapText="1"/>
    </xf>
    <xf numFmtId="166" fontId="10" fillId="0" borderId="1" xfId="0" applyNumberFormat="1" applyFont="1" applyBorder="1" applyAlignment="1">
      <alignment horizontal="center" vertical="center" wrapText="1"/>
    </xf>
    <xf numFmtId="167" fontId="10" fillId="0" borderId="1" xfId="0" applyNumberFormat="1" applyFont="1" applyBorder="1" applyAlignment="1">
      <alignment horizontal="center" vertical="center" wrapText="1"/>
    </xf>
    <xf numFmtId="166" fontId="10" fillId="4" borderId="1" xfId="0" applyNumberFormat="1" applyFont="1" applyFill="1" applyBorder="1" applyAlignment="1">
      <alignment horizontal="center" vertical="center" wrapText="1"/>
    </xf>
    <xf numFmtId="167" fontId="10" fillId="4" borderId="1" xfId="0" applyNumberFormat="1" applyFont="1" applyFill="1" applyBorder="1" applyAlignment="1">
      <alignment horizontal="center" vertical="center" wrapText="1"/>
    </xf>
    <xf numFmtId="0" fontId="8" fillId="0" borderId="0" xfId="0" applyFont="1"/>
    <xf numFmtId="167" fontId="10" fillId="0" borderId="0" xfId="0" applyNumberFormat="1" applyFont="1"/>
    <xf numFmtId="0" fontId="7" fillId="2" borderId="0" xfId="0" applyFont="1" applyFill="1" applyAlignment="1">
      <alignment horizontal="center" vertical="center" wrapText="1"/>
    </xf>
    <xf numFmtId="2" fontId="8" fillId="0" borderId="1" xfId="0" applyNumberFormat="1" applyFont="1" applyBorder="1" applyAlignment="1">
      <alignment horizontal="center" vertical="center" wrapText="1"/>
    </xf>
    <xf numFmtId="2" fontId="8" fillId="3" borderId="1" xfId="0" applyNumberFormat="1" applyFont="1" applyFill="1" applyBorder="1" applyAlignment="1">
      <alignment horizontal="center" vertical="center" wrapText="1"/>
    </xf>
    <xf numFmtId="167" fontId="10" fillId="3" borderId="1" xfId="0" applyNumberFormat="1" applyFont="1" applyFill="1" applyBorder="1" applyAlignment="1">
      <alignment horizontal="center" vertical="center" wrapText="1"/>
    </xf>
    <xf numFmtId="0" fontId="3" fillId="0" borderId="1" xfId="0" applyFont="1" applyBorder="1" applyAlignment="1">
      <alignment horizontal="left" vertical="center" wrapText="1"/>
    </xf>
    <xf numFmtId="0" fontId="11" fillId="0" borderId="1" xfId="0" applyFont="1" applyBorder="1" applyAlignment="1">
      <alignment horizontal="left" vertical="center" wrapText="1"/>
    </xf>
    <xf numFmtId="0" fontId="1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AA433F"/>
      <rgbColor rgb="FF008000"/>
      <rgbColor rgb="FF000080"/>
      <rgbColor rgb="FFB74C49"/>
      <rgbColor rgb="FF800080"/>
      <rgbColor rgb="FF008080"/>
      <rgbColor rgb="FFBFBFBF"/>
      <rgbColor rgb="FF878787"/>
      <rgbColor rgb="FF9999FF"/>
      <rgbColor rgb="FF9D3E3B"/>
      <rgbColor rgb="FFFFF2CC"/>
      <rgbColor rgb="FFF9F9F9"/>
      <rgbColor rgb="FF660066"/>
      <rgbColor rgb="FFC77372"/>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E2C2C1"/>
      <rgbColor rgb="FFD5A1A0"/>
      <rgbColor rgb="FFD4A5A4"/>
      <rgbColor rgb="FFF8CBAD"/>
      <rgbColor rgb="FF4F81BD"/>
      <rgbColor rgb="FF33CCCC"/>
      <rgbColor rgb="FF99CC00"/>
      <rgbColor rgb="FFFFCC00"/>
      <rgbColor rgb="FFFF9900"/>
      <rgbColor rgb="FFBE4B48"/>
      <rgbColor rgb="FF595959"/>
      <rgbColor rgb="FFCC8F8E"/>
      <rgbColor rgb="FF1F3864"/>
      <rgbColor rgb="FF339966"/>
      <rgbColor rgb="FF003300"/>
      <rgbColor rgb="FF333300"/>
      <rgbColor rgb="FFA44441"/>
      <rgbColor rgb="FF8E3B38"/>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Generation Mix by Source — 28 April 2025</a:t>
            </a:r>
          </a:p>
        </c:rich>
      </c:tx>
      <c:overlay val="0"/>
      <c:spPr>
        <a:noFill/>
        <a:ln w="0">
          <a:noFill/>
        </a:ln>
      </c:spPr>
    </c:title>
    <c:autoTitleDeleted val="0"/>
    <c:plotArea>
      <c:layout/>
      <c:areaChart>
        <c:grouping val="stacked"/>
        <c:varyColors val="1"/>
        <c:ser>
          <c:idx val="0"/>
          <c:order val="0"/>
          <c:tx>
            <c:strRef>
              <c:f>Hourly_Demand_Generation!$C$5</c:f>
              <c:strCache>
                <c:ptCount val="1"/>
                <c:pt idx="0">
                  <c:v>Solar PV (MW)</c:v>
                </c:pt>
              </c:strCache>
            </c:strRef>
          </c:tx>
          <c:spPr>
            <a:solidFill>
              <a:srgbClr val="8E3B38"/>
            </a:solidFill>
            <a:ln w="9360">
              <a:solidFill>
                <a:srgbClr val="F9F9F9"/>
              </a:solidFill>
              <a:round/>
            </a:ln>
          </c:spP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Hourly_Demand_Generation!$A$6:$A$29</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Hourly_Demand_Generation!$C$6:$C$29</c:f>
              <c:numCache>
                <c:formatCode>#,##0</c:formatCode>
                <c:ptCount val="24"/>
                <c:pt idx="0">
                  <c:v>0</c:v>
                </c:pt>
                <c:pt idx="1">
                  <c:v>0</c:v>
                </c:pt>
                <c:pt idx="2">
                  <c:v>0</c:v>
                </c:pt>
                <c:pt idx="3">
                  <c:v>0</c:v>
                </c:pt>
                <c:pt idx="4">
                  <c:v>0</c:v>
                </c:pt>
                <c:pt idx="5">
                  <c:v>0</c:v>
                </c:pt>
                <c:pt idx="6">
                  <c:v>200</c:v>
                </c:pt>
                <c:pt idx="7">
                  <c:v>1500</c:v>
                </c:pt>
                <c:pt idx="8">
                  <c:v>4500</c:v>
                </c:pt>
                <c:pt idx="9">
                  <c:v>8500</c:v>
                </c:pt>
                <c:pt idx="10">
                  <c:v>13000</c:v>
                </c:pt>
                <c:pt idx="11">
                  <c:v>16500</c:v>
                </c:pt>
                <c:pt idx="12">
                  <c:v>18068</c:v>
                </c:pt>
                <c:pt idx="13">
                  <c:v>0</c:v>
                </c:pt>
                <c:pt idx="14">
                  <c:v>0</c:v>
                </c:pt>
                <c:pt idx="15">
                  <c:v>0</c:v>
                </c:pt>
                <c:pt idx="16">
                  <c:v>0</c:v>
                </c:pt>
                <c:pt idx="17">
                  <c:v>0</c:v>
                </c:pt>
                <c:pt idx="18">
                  <c:v>0</c:v>
                </c:pt>
                <c:pt idx="19">
                  <c:v>5000</c:v>
                </c:pt>
                <c:pt idx="20">
                  <c:v>1500</c:v>
                </c:pt>
                <c:pt idx="21">
                  <c:v>200</c:v>
                </c:pt>
                <c:pt idx="22">
                  <c:v>0</c:v>
                </c:pt>
                <c:pt idx="23">
                  <c:v>0</c:v>
                </c:pt>
              </c:numCache>
            </c:numRef>
          </c:val>
          <c:extLst>
            <c:ext xmlns:c16="http://schemas.microsoft.com/office/drawing/2014/chart" uri="{C3380CC4-5D6E-409C-BE32-E72D297353CC}">
              <c16:uniqueId val="{00000000-2EC6-4974-878B-768553E2A39A}"/>
            </c:ext>
          </c:extLst>
        </c:ser>
        <c:ser>
          <c:idx val="1"/>
          <c:order val="1"/>
          <c:tx>
            <c:strRef>
              <c:f>Hourly_Demand_Generation!$D$5</c:f>
              <c:strCache>
                <c:ptCount val="1"/>
                <c:pt idx="0">
                  <c:v>Wind (MW)</c:v>
                </c:pt>
              </c:strCache>
            </c:strRef>
          </c:tx>
          <c:spPr>
            <a:solidFill>
              <a:srgbClr val="A44441"/>
            </a:solidFill>
            <a:ln w="9360">
              <a:solidFill>
                <a:srgbClr val="F9F9F9"/>
              </a:solidFill>
              <a:round/>
            </a:ln>
          </c:spP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Hourly_Demand_Generation!$A$6:$A$29</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Hourly_Demand_Generation!$D$6:$D$29</c:f>
              <c:numCache>
                <c:formatCode>#,##0</c:formatCode>
                <c:ptCount val="24"/>
                <c:pt idx="0">
                  <c:v>2000</c:v>
                </c:pt>
                <c:pt idx="1">
                  <c:v>2100</c:v>
                </c:pt>
                <c:pt idx="2">
                  <c:v>2300</c:v>
                </c:pt>
                <c:pt idx="3">
                  <c:v>2500</c:v>
                </c:pt>
                <c:pt idx="4">
                  <c:v>2700</c:v>
                </c:pt>
                <c:pt idx="5">
                  <c:v>2900</c:v>
                </c:pt>
                <c:pt idx="6">
                  <c:v>3100</c:v>
                </c:pt>
                <c:pt idx="7">
                  <c:v>3300</c:v>
                </c:pt>
                <c:pt idx="8">
                  <c:v>3500</c:v>
                </c:pt>
                <c:pt idx="9">
                  <c:v>3700</c:v>
                </c:pt>
                <c:pt idx="10">
                  <c:v>3900</c:v>
                </c:pt>
                <c:pt idx="11">
                  <c:v>4100</c:v>
                </c:pt>
                <c:pt idx="12">
                  <c:v>4300</c:v>
                </c:pt>
                <c:pt idx="13">
                  <c:v>4500</c:v>
                </c:pt>
                <c:pt idx="14">
                  <c:v>4300</c:v>
                </c:pt>
                <c:pt idx="15">
                  <c:v>4100</c:v>
                </c:pt>
                <c:pt idx="16">
                  <c:v>3900</c:v>
                </c:pt>
                <c:pt idx="17">
                  <c:v>3700</c:v>
                </c:pt>
                <c:pt idx="18">
                  <c:v>3500</c:v>
                </c:pt>
                <c:pt idx="19">
                  <c:v>3300</c:v>
                </c:pt>
                <c:pt idx="20">
                  <c:v>3100</c:v>
                </c:pt>
                <c:pt idx="21">
                  <c:v>2900</c:v>
                </c:pt>
                <c:pt idx="22">
                  <c:v>2700</c:v>
                </c:pt>
                <c:pt idx="23">
                  <c:v>2500</c:v>
                </c:pt>
              </c:numCache>
            </c:numRef>
          </c:val>
          <c:extLst>
            <c:ext xmlns:c16="http://schemas.microsoft.com/office/drawing/2014/chart" uri="{C3380CC4-5D6E-409C-BE32-E72D297353CC}">
              <c16:uniqueId val="{00000001-2EC6-4974-878B-768553E2A39A}"/>
            </c:ext>
          </c:extLst>
        </c:ser>
        <c:ser>
          <c:idx val="2"/>
          <c:order val="2"/>
          <c:tx>
            <c:strRef>
              <c:f>Hourly_Demand_Generation!$E$5</c:f>
              <c:strCache>
                <c:ptCount val="1"/>
                <c:pt idx="0">
                  <c:v>Hydro (MW)</c:v>
                </c:pt>
              </c:strCache>
            </c:strRef>
          </c:tx>
          <c:spPr>
            <a:solidFill>
              <a:srgbClr val="B74C49"/>
            </a:solidFill>
            <a:ln w="9360">
              <a:solidFill>
                <a:srgbClr val="F9F9F9"/>
              </a:solidFill>
              <a:round/>
            </a:ln>
          </c:spP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Hourly_Demand_Generation!$A$6:$A$29</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Hourly_Demand_Generation!$E$6:$E$29</c:f>
              <c:numCache>
                <c:formatCode>#,##0</c:formatCode>
                <c:ptCount val="24"/>
                <c:pt idx="0">
                  <c:v>1800</c:v>
                </c:pt>
                <c:pt idx="1">
                  <c:v>1900</c:v>
                </c:pt>
                <c:pt idx="2">
                  <c:v>2000</c:v>
                </c:pt>
                <c:pt idx="3">
                  <c:v>2100</c:v>
                </c:pt>
                <c:pt idx="4">
                  <c:v>2200</c:v>
                </c:pt>
                <c:pt idx="5">
                  <c:v>2300</c:v>
                </c:pt>
                <c:pt idx="6">
                  <c:v>1800</c:v>
                </c:pt>
                <c:pt idx="7">
                  <c:v>1900</c:v>
                </c:pt>
                <c:pt idx="8">
                  <c:v>2000</c:v>
                </c:pt>
                <c:pt idx="9">
                  <c:v>2100</c:v>
                </c:pt>
                <c:pt idx="10">
                  <c:v>2200</c:v>
                </c:pt>
                <c:pt idx="11">
                  <c:v>2300</c:v>
                </c:pt>
                <c:pt idx="12">
                  <c:v>1800</c:v>
                </c:pt>
                <c:pt idx="13">
                  <c:v>1900</c:v>
                </c:pt>
                <c:pt idx="14">
                  <c:v>2000</c:v>
                </c:pt>
                <c:pt idx="15">
                  <c:v>2100</c:v>
                </c:pt>
                <c:pt idx="16">
                  <c:v>2200</c:v>
                </c:pt>
                <c:pt idx="17">
                  <c:v>2300</c:v>
                </c:pt>
                <c:pt idx="18">
                  <c:v>1800</c:v>
                </c:pt>
                <c:pt idx="19">
                  <c:v>1900</c:v>
                </c:pt>
                <c:pt idx="20">
                  <c:v>2000</c:v>
                </c:pt>
                <c:pt idx="21">
                  <c:v>2100</c:v>
                </c:pt>
                <c:pt idx="22">
                  <c:v>2200</c:v>
                </c:pt>
                <c:pt idx="23">
                  <c:v>2300</c:v>
                </c:pt>
              </c:numCache>
            </c:numRef>
          </c:val>
          <c:extLst>
            <c:ext xmlns:c16="http://schemas.microsoft.com/office/drawing/2014/chart" uri="{C3380CC4-5D6E-409C-BE32-E72D297353CC}">
              <c16:uniqueId val="{00000002-2EC6-4974-878B-768553E2A39A}"/>
            </c:ext>
          </c:extLst>
        </c:ser>
        <c:ser>
          <c:idx val="3"/>
          <c:order val="3"/>
          <c:tx>
            <c:strRef>
              <c:f>Hourly_Demand_Generation!$F$5</c:f>
              <c:strCache>
                <c:ptCount val="1"/>
                <c:pt idx="0">
                  <c:v>Nuclear (MW)</c:v>
                </c:pt>
              </c:strCache>
            </c:strRef>
          </c:tx>
          <c:spPr>
            <a:solidFill>
              <a:srgbClr val="C77372"/>
            </a:solidFill>
            <a:ln w="9360">
              <a:solidFill>
                <a:srgbClr val="F9F9F9"/>
              </a:solidFill>
              <a:round/>
            </a:ln>
          </c:spP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Hourly_Demand_Generation!$A$6:$A$29</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Hourly_Demand_Generation!$F$6:$F$29</c:f>
              <c:numCache>
                <c:formatCode>#,##0</c:formatCode>
                <c:ptCount val="24"/>
                <c:pt idx="0">
                  <c:v>5800</c:v>
                </c:pt>
                <c:pt idx="1">
                  <c:v>5800</c:v>
                </c:pt>
                <c:pt idx="2">
                  <c:v>5800</c:v>
                </c:pt>
                <c:pt idx="3">
                  <c:v>5800</c:v>
                </c:pt>
                <c:pt idx="4">
                  <c:v>5800</c:v>
                </c:pt>
                <c:pt idx="5">
                  <c:v>5800</c:v>
                </c:pt>
                <c:pt idx="6">
                  <c:v>5800</c:v>
                </c:pt>
                <c:pt idx="7">
                  <c:v>5800</c:v>
                </c:pt>
                <c:pt idx="8">
                  <c:v>5800</c:v>
                </c:pt>
                <c:pt idx="9">
                  <c:v>5800</c:v>
                </c:pt>
                <c:pt idx="10">
                  <c:v>5800</c:v>
                </c:pt>
                <c:pt idx="11">
                  <c:v>5800</c:v>
                </c:pt>
                <c:pt idx="12">
                  <c:v>5800</c:v>
                </c:pt>
                <c:pt idx="13">
                  <c:v>1500</c:v>
                </c:pt>
                <c:pt idx="14">
                  <c:v>1500</c:v>
                </c:pt>
                <c:pt idx="15">
                  <c:v>1500</c:v>
                </c:pt>
                <c:pt idx="16">
                  <c:v>1500</c:v>
                </c:pt>
                <c:pt idx="17">
                  <c:v>1500</c:v>
                </c:pt>
                <c:pt idx="18">
                  <c:v>1500</c:v>
                </c:pt>
                <c:pt idx="19">
                  <c:v>1500</c:v>
                </c:pt>
                <c:pt idx="20">
                  <c:v>1500</c:v>
                </c:pt>
                <c:pt idx="21">
                  <c:v>1500</c:v>
                </c:pt>
                <c:pt idx="22">
                  <c:v>1500</c:v>
                </c:pt>
                <c:pt idx="23">
                  <c:v>1500</c:v>
                </c:pt>
              </c:numCache>
            </c:numRef>
          </c:val>
          <c:extLst>
            <c:ext xmlns:c16="http://schemas.microsoft.com/office/drawing/2014/chart" uri="{C3380CC4-5D6E-409C-BE32-E72D297353CC}">
              <c16:uniqueId val="{00000003-2EC6-4974-878B-768553E2A39A}"/>
            </c:ext>
          </c:extLst>
        </c:ser>
        <c:ser>
          <c:idx val="4"/>
          <c:order val="4"/>
          <c:tx>
            <c:strRef>
              <c:f>Hourly_Demand_Generation!$G$5</c:f>
              <c:strCache>
                <c:ptCount val="1"/>
                <c:pt idx="0">
                  <c:v>CCGT Gas (MW)</c:v>
                </c:pt>
              </c:strCache>
            </c:strRef>
          </c:tx>
          <c:spPr>
            <a:solidFill>
              <a:srgbClr val="D5A1A0"/>
            </a:solidFill>
            <a:ln w="9360">
              <a:solidFill>
                <a:srgbClr val="F9F9F9"/>
              </a:solidFill>
              <a:round/>
            </a:ln>
          </c:spP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Hourly_Demand_Generation!$A$6:$A$29</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Hourly_Demand_Generation!$G$6:$G$29</c:f>
              <c:numCache>
                <c:formatCode>#,##0</c:formatCode>
                <c:ptCount val="24"/>
                <c:pt idx="0">
                  <c:v>800</c:v>
                </c:pt>
                <c:pt idx="1">
                  <c:v>700</c:v>
                </c:pt>
                <c:pt idx="2">
                  <c:v>600</c:v>
                </c:pt>
                <c:pt idx="3">
                  <c:v>500</c:v>
                </c:pt>
                <c:pt idx="4">
                  <c:v>500</c:v>
                </c:pt>
                <c:pt idx="5">
                  <c:v>600</c:v>
                </c:pt>
                <c:pt idx="6">
                  <c:v>800</c:v>
                </c:pt>
                <c:pt idx="7">
                  <c:v>1200</c:v>
                </c:pt>
                <c:pt idx="8">
                  <c:v>1400</c:v>
                </c:pt>
                <c:pt idx="9">
                  <c:v>1500</c:v>
                </c:pt>
                <c:pt idx="10">
                  <c:v>1600</c:v>
                </c:pt>
                <c:pt idx="11">
                  <c:v>1650</c:v>
                </c:pt>
                <c:pt idx="12">
                  <c:v>1635</c:v>
                </c:pt>
                <c:pt idx="13">
                  <c:v>200</c:v>
                </c:pt>
                <c:pt idx="14">
                  <c:v>100</c:v>
                </c:pt>
                <c:pt idx="15">
                  <c:v>100</c:v>
                </c:pt>
                <c:pt idx="16">
                  <c:v>200</c:v>
                </c:pt>
                <c:pt idx="17">
                  <c:v>500</c:v>
                </c:pt>
                <c:pt idx="18">
                  <c:v>1000</c:v>
                </c:pt>
                <c:pt idx="19">
                  <c:v>1500</c:v>
                </c:pt>
                <c:pt idx="20">
                  <c:v>1800</c:v>
                </c:pt>
                <c:pt idx="21">
                  <c:v>1700</c:v>
                </c:pt>
                <c:pt idx="22">
                  <c:v>1500</c:v>
                </c:pt>
                <c:pt idx="23">
                  <c:v>1200</c:v>
                </c:pt>
              </c:numCache>
            </c:numRef>
          </c:val>
          <c:extLst>
            <c:ext xmlns:c16="http://schemas.microsoft.com/office/drawing/2014/chart" uri="{C3380CC4-5D6E-409C-BE32-E72D297353CC}">
              <c16:uniqueId val="{00000004-2EC6-4974-878B-768553E2A39A}"/>
            </c:ext>
          </c:extLst>
        </c:ser>
        <c:ser>
          <c:idx val="5"/>
          <c:order val="5"/>
          <c:tx>
            <c:strRef>
              <c:f>Hourly_Demand_Generation!$H$5</c:f>
              <c:strCache>
                <c:ptCount val="1"/>
                <c:pt idx="0">
                  <c:v>Other (MW)</c:v>
                </c:pt>
              </c:strCache>
            </c:strRef>
          </c:tx>
          <c:spPr>
            <a:solidFill>
              <a:srgbClr val="E2C2C1"/>
            </a:solidFill>
            <a:ln w="9360">
              <a:solidFill>
                <a:srgbClr val="F9F9F9"/>
              </a:solidFill>
              <a:round/>
            </a:ln>
          </c:spP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Hourly_Demand_Generation!$A$6:$A$29</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Hourly_Demand_Generation!$H$6:$H$29</c:f>
              <c:numCache>
                <c:formatCode>#,##0</c:formatCode>
                <c:ptCount val="24"/>
                <c:pt idx="0">
                  <c:v>1200</c:v>
                </c:pt>
                <c:pt idx="1">
                  <c:v>1200</c:v>
                </c:pt>
                <c:pt idx="2">
                  <c:v>1200</c:v>
                </c:pt>
                <c:pt idx="3">
                  <c:v>1200</c:v>
                </c:pt>
                <c:pt idx="4">
                  <c:v>1200</c:v>
                </c:pt>
                <c:pt idx="5">
                  <c:v>1200</c:v>
                </c:pt>
                <c:pt idx="6">
                  <c:v>1200</c:v>
                </c:pt>
                <c:pt idx="7">
                  <c:v>1200</c:v>
                </c:pt>
                <c:pt idx="8">
                  <c:v>1200</c:v>
                </c:pt>
                <c:pt idx="9">
                  <c:v>1200</c:v>
                </c:pt>
                <c:pt idx="10">
                  <c:v>1200</c:v>
                </c:pt>
                <c:pt idx="11">
                  <c:v>1200</c:v>
                </c:pt>
                <c:pt idx="12">
                  <c:v>1200</c:v>
                </c:pt>
                <c:pt idx="13">
                  <c:v>1200</c:v>
                </c:pt>
                <c:pt idx="14">
                  <c:v>1200</c:v>
                </c:pt>
                <c:pt idx="15">
                  <c:v>1200</c:v>
                </c:pt>
                <c:pt idx="16">
                  <c:v>1200</c:v>
                </c:pt>
                <c:pt idx="17">
                  <c:v>1200</c:v>
                </c:pt>
                <c:pt idx="18">
                  <c:v>1200</c:v>
                </c:pt>
                <c:pt idx="19">
                  <c:v>1200</c:v>
                </c:pt>
                <c:pt idx="20">
                  <c:v>1200</c:v>
                </c:pt>
                <c:pt idx="21">
                  <c:v>1200</c:v>
                </c:pt>
                <c:pt idx="22">
                  <c:v>1200</c:v>
                </c:pt>
                <c:pt idx="23">
                  <c:v>1200</c:v>
                </c:pt>
              </c:numCache>
            </c:numRef>
          </c:val>
          <c:extLst>
            <c:ext xmlns:c16="http://schemas.microsoft.com/office/drawing/2014/chart" uri="{C3380CC4-5D6E-409C-BE32-E72D297353CC}">
              <c16:uniqueId val="{00000005-2EC6-4974-878B-768553E2A39A}"/>
            </c:ext>
          </c:extLst>
        </c:ser>
        <c:dLbls>
          <c:showLegendKey val="0"/>
          <c:showVal val="0"/>
          <c:showCatName val="0"/>
          <c:showSerName val="0"/>
          <c:showPercent val="0"/>
          <c:showBubbleSize val="0"/>
        </c:dLbls>
        <c:axId val="36837480"/>
        <c:axId val="20468650"/>
      </c:areaChart>
      <c:catAx>
        <c:axId val="36837480"/>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Hour (CEST)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0468650"/>
        <c:crosses val="autoZero"/>
        <c:auto val="1"/>
        <c:lblAlgn val="ctr"/>
        <c:lblOffset val="100"/>
        <c:noMultiLvlLbl val="0"/>
      </c:catAx>
      <c:valAx>
        <c:axId val="2046865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Power (MW)</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6837480"/>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Demand vs Total Generation — Blackout Impact at Hour 13</a:t>
            </a:r>
          </a:p>
        </c:rich>
      </c:tx>
      <c:overlay val="0"/>
      <c:spPr>
        <a:noFill/>
        <a:ln w="0">
          <a:noFill/>
        </a:ln>
      </c:spPr>
    </c:title>
    <c:autoTitleDeleted val="0"/>
    <c:plotArea>
      <c:layout/>
      <c:lineChart>
        <c:grouping val="standard"/>
        <c:varyColors val="0"/>
        <c:ser>
          <c:idx val="0"/>
          <c:order val="0"/>
          <c:tx>
            <c:strRef>
              <c:f>Hourly_Demand_Generation!$B$5</c:f>
              <c:strCache>
                <c:ptCount val="1"/>
                <c:pt idx="0">
                  <c:v>Demand (MW)</c:v>
                </c:pt>
              </c:strCache>
            </c:strRef>
          </c:tx>
          <c:spPr>
            <a:ln w="47520">
              <a:solidFill>
                <a:srgbClr val="AA433F"/>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Hourly_Demand_Generation!$A$6:$A$29</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Hourly_Demand_Generation!$B$6:$B$29</c:f>
              <c:numCache>
                <c:formatCode>#,##0</c:formatCode>
                <c:ptCount val="24"/>
                <c:pt idx="0">
                  <c:v>21500</c:v>
                </c:pt>
                <c:pt idx="1">
                  <c:v>20800</c:v>
                </c:pt>
                <c:pt idx="2">
                  <c:v>20100</c:v>
                </c:pt>
                <c:pt idx="3">
                  <c:v>19500</c:v>
                </c:pt>
                <c:pt idx="4">
                  <c:v>19200</c:v>
                </c:pt>
                <c:pt idx="5">
                  <c:v>19800</c:v>
                </c:pt>
                <c:pt idx="6">
                  <c:v>21000</c:v>
                </c:pt>
                <c:pt idx="7">
                  <c:v>22500</c:v>
                </c:pt>
                <c:pt idx="8">
                  <c:v>23800</c:v>
                </c:pt>
                <c:pt idx="9">
                  <c:v>25100</c:v>
                </c:pt>
                <c:pt idx="10">
                  <c:v>25800</c:v>
                </c:pt>
                <c:pt idx="11">
                  <c:v>25200</c:v>
                </c:pt>
                <c:pt idx="12">
                  <c:v>25000</c:v>
                </c:pt>
                <c:pt idx="13">
                  <c:v>9200</c:v>
                </c:pt>
                <c:pt idx="14">
                  <c:v>8000</c:v>
                </c:pt>
                <c:pt idx="15">
                  <c:v>8500</c:v>
                </c:pt>
                <c:pt idx="16">
                  <c:v>9500</c:v>
                </c:pt>
                <c:pt idx="17">
                  <c:v>11000</c:v>
                </c:pt>
                <c:pt idx="18">
                  <c:v>14000</c:v>
                </c:pt>
                <c:pt idx="19">
                  <c:v>18000</c:v>
                </c:pt>
                <c:pt idx="20">
                  <c:v>22000</c:v>
                </c:pt>
                <c:pt idx="21">
                  <c:v>23500</c:v>
                </c:pt>
                <c:pt idx="22">
                  <c:v>23000</c:v>
                </c:pt>
                <c:pt idx="23">
                  <c:v>22000</c:v>
                </c:pt>
              </c:numCache>
            </c:numRef>
          </c:val>
          <c:smooth val="1"/>
          <c:extLst>
            <c:ext xmlns:c16="http://schemas.microsoft.com/office/drawing/2014/chart" uri="{C3380CC4-5D6E-409C-BE32-E72D297353CC}">
              <c16:uniqueId val="{00000000-168A-49C7-A8B9-4932200E99A7}"/>
            </c:ext>
          </c:extLst>
        </c:ser>
        <c:ser>
          <c:idx val="1"/>
          <c:order val="1"/>
          <c:tx>
            <c:strRef>
              <c:f>Hourly_Demand_Generation!$I$5</c:f>
              <c:strCache>
                <c:ptCount val="1"/>
                <c:pt idx="0">
                  <c:v>Total Gen (MW)</c:v>
                </c:pt>
              </c:strCache>
            </c:strRef>
          </c:tx>
          <c:spPr>
            <a:ln w="47520">
              <a:solidFill>
                <a:srgbClr val="CC8F8E"/>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Hourly_Demand_Generation!$A$6:$A$29</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Hourly_Demand_Generation!$I$6:$I$29</c:f>
              <c:numCache>
                <c:formatCode>#,##0</c:formatCode>
                <c:ptCount val="24"/>
                <c:pt idx="0">
                  <c:v>11600</c:v>
                </c:pt>
                <c:pt idx="1">
                  <c:v>11700</c:v>
                </c:pt>
                <c:pt idx="2">
                  <c:v>11900</c:v>
                </c:pt>
                <c:pt idx="3">
                  <c:v>12100</c:v>
                </c:pt>
                <c:pt idx="4">
                  <c:v>12400</c:v>
                </c:pt>
                <c:pt idx="5">
                  <c:v>12800</c:v>
                </c:pt>
                <c:pt idx="6">
                  <c:v>12900</c:v>
                </c:pt>
                <c:pt idx="7">
                  <c:v>14900</c:v>
                </c:pt>
                <c:pt idx="8">
                  <c:v>18400</c:v>
                </c:pt>
                <c:pt idx="9">
                  <c:v>22800</c:v>
                </c:pt>
                <c:pt idx="10">
                  <c:v>27700</c:v>
                </c:pt>
                <c:pt idx="11">
                  <c:v>31550</c:v>
                </c:pt>
                <c:pt idx="12">
                  <c:v>32803</c:v>
                </c:pt>
                <c:pt idx="13">
                  <c:v>9300</c:v>
                </c:pt>
                <c:pt idx="14">
                  <c:v>9100</c:v>
                </c:pt>
                <c:pt idx="15">
                  <c:v>9000</c:v>
                </c:pt>
                <c:pt idx="16">
                  <c:v>9000</c:v>
                </c:pt>
                <c:pt idx="17">
                  <c:v>9200</c:v>
                </c:pt>
                <c:pt idx="18">
                  <c:v>9000</c:v>
                </c:pt>
                <c:pt idx="19">
                  <c:v>14400</c:v>
                </c:pt>
                <c:pt idx="20">
                  <c:v>11100</c:v>
                </c:pt>
                <c:pt idx="21">
                  <c:v>9600</c:v>
                </c:pt>
                <c:pt idx="22">
                  <c:v>9100</c:v>
                </c:pt>
                <c:pt idx="23">
                  <c:v>8700</c:v>
                </c:pt>
              </c:numCache>
            </c:numRef>
          </c:val>
          <c:smooth val="1"/>
          <c:extLst>
            <c:ext xmlns:c16="http://schemas.microsoft.com/office/drawing/2014/chart" uri="{C3380CC4-5D6E-409C-BE32-E72D297353CC}">
              <c16:uniqueId val="{00000001-168A-49C7-A8B9-4932200E99A7}"/>
            </c:ext>
          </c:extLst>
        </c:ser>
        <c:dLbls>
          <c:showLegendKey val="0"/>
          <c:showVal val="0"/>
          <c:showCatName val="0"/>
          <c:showSerName val="0"/>
          <c:showPercent val="0"/>
          <c:showBubbleSize val="0"/>
        </c:dLbls>
        <c:hiLowLines>
          <c:spPr>
            <a:ln w="0">
              <a:noFill/>
            </a:ln>
          </c:spPr>
        </c:hiLowLines>
        <c:smooth val="0"/>
        <c:axId val="14944245"/>
        <c:axId val="16965634"/>
      </c:lineChart>
      <c:catAx>
        <c:axId val="14944245"/>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Hour (CEST)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6965634"/>
        <c:crosses val="autoZero"/>
        <c:auto val="1"/>
        <c:lblAlgn val="ctr"/>
        <c:lblOffset val="100"/>
        <c:noMultiLvlLbl val="0"/>
      </c:catAx>
      <c:valAx>
        <c:axId val="1696563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Power (MW)</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494424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Solar PV Generation — Peak at 53% of mix at 12:30 CEST</a:t>
            </a:r>
          </a:p>
        </c:rich>
      </c:tx>
      <c:overlay val="0"/>
      <c:spPr>
        <a:noFill/>
        <a:ln w="0">
          <a:noFill/>
        </a:ln>
      </c:spPr>
    </c:title>
    <c:autoTitleDeleted val="0"/>
    <c:plotArea>
      <c:layout/>
      <c:barChart>
        <c:barDir val="col"/>
        <c:grouping val="clustered"/>
        <c:varyColors val="0"/>
        <c:ser>
          <c:idx val="0"/>
          <c:order val="0"/>
          <c:tx>
            <c:strRef>
              <c:f>Hourly_Demand_Generation!$C$5</c:f>
              <c:strCache>
                <c:ptCount val="1"/>
                <c:pt idx="0">
                  <c:v>Solar PV (MW)</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Hourly_Demand_Generation!$A$6:$A$29</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Hourly_Demand_Generation!$C$6:$C$29</c:f>
              <c:numCache>
                <c:formatCode>#,##0</c:formatCode>
                <c:ptCount val="24"/>
                <c:pt idx="0">
                  <c:v>0</c:v>
                </c:pt>
                <c:pt idx="1">
                  <c:v>0</c:v>
                </c:pt>
                <c:pt idx="2">
                  <c:v>0</c:v>
                </c:pt>
                <c:pt idx="3">
                  <c:v>0</c:v>
                </c:pt>
                <c:pt idx="4">
                  <c:v>0</c:v>
                </c:pt>
                <c:pt idx="5">
                  <c:v>0</c:v>
                </c:pt>
                <c:pt idx="6">
                  <c:v>200</c:v>
                </c:pt>
                <c:pt idx="7">
                  <c:v>1500</c:v>
                </c:pt>
                <c:pt idx="8">
                  <c:v>4500</c:v>
                </c:pt>
                <c:pt idx="9">
                  <c:v>8500</c:v>
                </c:pt>
                <c:pt idx="10">
                  <c:v>13000</c:v>
                </c:pt>
                <c:pt idx="11">
                  <c:v>16500</c:v>
                </c:pt>
                <c:pt idx="12">
                  <c:v>18068</c:v>
                </c:pt>
                <c:pt idx="13">
                  <c:v>0</c:v>
                </c:pt>
                <c:pt idx="14">
                  <c:v>0</c:v>
                </c:pt>
                <c:pt idx="15">
                  <c:v>0</c:v>
                </c:pt>
                <c:pt idx="16">
                  <c:v>0</c:v>
                </c:pt>
                <c:pt idx="17">
                  <c:v>0</c:v>
                </c:pt>
                <c:pt idx="18">
                  <c:v>0</c:v>
                </c:pt>
                <c:pt idx="19">
                  <c:v>5000</c:v>
                </c:pt>
                <c:pt idx="20">
                  <c:v>1500</c:v>
                </c:pt>
                <c:pt idx="21">
                  <c:v>200</c:v>
                </c:pt>
                <c:pt idx="22">
                  <c:v>0</c:v>
                </c:pt>
                <c:pt idx="23">
                  <c:v>0</c:v>
                </c:pt>
              </c:numCache>
            </c:numRef>
          </c:val>
          <c:extLst>
            <c:ext xmlns:c16="http://schemas.microsoft.com/office/drawing/2014/chart" uri="{C3380CC4-5D6E-409C-BE32-E72D297353CC}">
              <c16:uniqueId val="{00000000-71EA-4E92-8615-726CA968EEAB}"/>
            </c:ext>
          </c:extLst>
        </c:ser>
        <c:dLbls>
          <c:showLegendKey val="0"/>
          <c:showVal val="0"/>
          <c:showCatName val="0"/>
          <c:showSerName val="0"/>
          <c:showPercent val="0"/>
          <c:showBubbleSize val="0"/>
        </c:dLbls>
        <c:gapWidth val="150"/>
        <c:axId val="43080525"/>
        <c:axId val="57553206"/>
      </c:barChart>
      <c:catAx>
        <c:axId val="43080525"/>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Hour (CEST)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7553206"/>
        <c:crosses val="autoZero"/>
        <c:auto val="1"/>
        <c:lblAlgn val="ctr"/>
        <c:lblOffset val="100"/>
        <c:noMultiLvlLbl val="0"/>
      </c:catAx>
      <c:valAx>
        <c:axId val="5755320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Solar PV (MW)</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308052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Frequency Evolution — Pre-Blackout (11:00 to 12:30 CEST)</a:t>
            </a:r>
          </a:p>
        </c:rich>
      </c:tx>
      <c:overlay val="0"/>
      <c:spPr>
        <a:noFill/>
        <a:ln w="0">
          <a:noFill/>
        </a:ln>
      </c:spPr>
    </c:title>
    <c:autoTitleDeleted val="0"/>
    <c:plotArea>
      <c:layout/>
      <c:lineChart>
        <c:grouping val="standard"/>
        <c:varyColors val="0"/>
        <c:ser>
          <c:idx val="0"/>
          <c:order val="0"/>
          <c:tx>
            <c:strRef>
              <c:f>Pre_Event_15min!$G$4</c:f>
              <c:strCache>
                <c:ptCount val="1"/>
                <c:pt idx="0">
                  <c:v>Frequency (Hz)</c:v>
                </c:pt>
              </c:strCache>
            </c:strRef>
          </c:tx>
          <c:spPr>
            <a:ln w="47520">
              <a:solidFill>
                <a:srgbClr val="BE4B48"/>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Pre_Event_15min!$A$5:$A$15</c:f>
              <c:strCache>
                <c:ptCount val="11"/>
                <c:pt idx="0">
                  <c:v>11:00</c:v>
                </c:pt>
                <c:pt idx="1">
                  <c:v>11:15</c:v>
                </c:pt>
                <c:pt idx="2">
                  <c:v>11:30</c:v>
                </c:pt>
                <c:pt idx="3">
                  <c:v>11:45</c:v>
                </c:pt>
                <c:pt idx="4">
                  <c:v>12:00</c:v>
                </c:pt>
                <c:pt idx="5">
                  <c:v>12:03</c:v>
                </c:pt>
                <c:pt idx="6">
                  <c:v>12:07</c:v>
                </c:pt>
                <c:pt idx="7">
                  <c:v>12:15</c:v>
                </c:pt>
                <c:pt idx="8">
                  <c:v>12:19</c:v>
                </c:pt>
                <c:pt idx="9">
                  <c:v>12:21</c:v>
                </c:pt>
                <c:pt idx="10">
                  <c:v>12:30</c:v>
                </c:pt>
              </c:strCache>
            </c:strRef>
          </c:cat>
          <c:val>
            <c:numRef>
              <c:f>Pre_Event_15min!$G$5:$G$15</c:f>
              <c:numCache>
                <c:formatCode>0.000</c:formatCode>
                <c:ptCount val="11"/>
                <c:pt idx="0">
                  <c:v>50</c:v>
                </c:pt>
                <c:pt idx="1">
                  <c:v>50.01</c:v>
                </c:pt>
                <c:pt idx="2">
                  <c:v>50</c:v>
                </c:pt>
                <c:pt idx="3">
                  <c:v>49.99</c:v>
                </c:pt>
                <c:pt idx="4">
                  <c:v>50</c:v>
                </c:pt>
                <c:pt idx="5">
                  <c:v>49.98</c:v>
                </c:pt>
                <c:pt idx="6">
                  <c:v>50.02</c:v>
                </c:pt>
                <c:pt idx="7">
                  <c:v>50</c:v>
                </c:pt>
                <c:pt idx="8">
                  <c:v>49.97</c:v>
                </c:pt>
                <c:pt idx="9">
                  <c:v>50.03</c:v>
                </c:pt>
                <c:pt idx="10">
                  <c:v>49.94</c:v>
                </c:pt>
              </c:numCache>
            </c:numRef>
          </c:val>
          <c:smooth val="1"/>
          <c:extLst>
            <c:ext xmlns:c16="http://schemas.microsoft.com/office/drawing/2014/chart" uri="{C3380CC4-5D6E-409C-BE32-E72D297353CC}">
              <c16:uniqueId val="{00000000-85DA-4F48-AF33-0A1EB647B9EB}"/>
            </c:ext>
          </c:extLst>
        </c:ser>
        <c:dLbls>
          <c:showLegendKey val="0"/>
          <c:showVal val="0"/>
          <c:showCatName val="0"/>
          <c:showSerName val="0"/>
          <c:showPercent val="0"/>
          <c:showBubbleSize val="0"/>
        </c:dLbls>
        <c:hiLowLines>
          <c:spPr>
            <a:ln w="0">
              <a:noFill/>
            </a:ln>
          </c:spPr>
        </c:hiLowLines>
        <c:smooth val="0"/>
        <c:axId val="98987122"/>
        <c:axId val="61051432"/>
      </c:lineChart>
      <c:catAx>
        <c:axId val="98987122"/>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Time (CEST)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1051432"/>
        <c:crosses val="autoZero"/>
        <c:auto val="1"/>
        <c:lblAlgn val="ctr"/>
        <c:lblOffset val="100"/>
        <c:noMultiLvlLbl val="0"/>
      </c:catAx>
      <c:valAx>
        <c:axId val="61051432"/>
        <c:scaling>
          <c:orientation val="minMax"/>
          <c:max val="50.1"/>
          <c:min val="49.9"/>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Frequency (Hz)</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898712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System Inertia (H) — Critical Decline</a:t>
            </a:r>
          </a:p>
        </c:rich>
      </c:tx>
      <c:overlay val="0"/>
      <c:spPr>
        <a:noFill/>
        <a:ln w="0">
          <a:noFill/>
        </a:ln>
      </c:spPr>
    </c:title>
    <c:autoTitleDeleted val="0"/>
    <c:plotArea>
      <c:layout/>
      <c:lineChart>
        <c:grouping val="standard"/>
        <c:varyColors val="0"/>
        <c:ser>
          <c:idx val="0"/>
          <c:order val="0"/>
          <c:tx>
            <c:strRef>
              <c:f>Pre_Event_15min!$F$4</c:f>
              <c:strCache>
                <c:ptCount val="1"/>
                <c:pt idx="0">
                  <c:v>Estimated H (s)</c:v>
                </c:pt>
              </c:strCache>
            </c:strRef>
          </c:tx>
          <c:spPr>
            <a:ln w="47520">
              <a:solidFill>
                <a:srgbClr val="BE4B48"/>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Pre_Event_15min!$A$5:$A$15</c:f>
              <c:strCache>
                <c:ptCount val="11"/>
                <c:pt idx="0">
                  <c:v>11:00</c:v>
                </c:pt>
                <c:pt idx="1">
                  <c:v>11:15</c:v>
                </c:pt>
                <c:pt idx="2">
                  <c:v>11:30</c:v>
                </c:pt>
                <c:pt idx="3">
                  <c:v>11:45</c:v>
                </c:pt>
                <c:pt idx="4">
                  <c:v>12:00</c:v>
                </c:pt>
                <c:pt idx="5">
                  <c:v>12:03</c:v>
                </c:pt>
                <c:pt idx="6">
                  <c:v>12:07</c:v>
                </c:pt>
                <c:pt idx="7">
                  <c:v>12:15</c:v>
                </c:pt>
                <c:pt idx="8">
                  <c:v>12:19</c:v>
                </c:pt>
                <c:pt idx="9">
                  <c:v>12:21</c:v>
                </c:pt>
                <c:pt idx="10">
                  <c:v>12:30</c:v>
                </c:pt>
              </c:strCache>
            </c:strRef>
          </c:cat>
          <c:val>
            <c:numRef>
              <c:f>Pre_Event_15min!$F$5:$F$15</c:f>
              <c:numCache>
                <c:formatCode>0.00</c:formatCode>
                <c:ptCount val="11"/>
                <c:pt idx="0">
                  <c:v>1.4652014652014651</c:v>
                </c:pt>
                <c:pt idx="1">
                  <c:v>1.4575645756457565</c:v>
                </c:pt>
                <c:pt idx="2">
                  <c:v>1.449814126394052</c:v>
                </c:pt>
                <c:pt idx="3">
                  <c:v>1.4419475655430711</c:v>
                </c:pt>
                <c:pt idx="4">
                  <c:v>1.4339622641509433</c:v>
                </c:pt>
                <c:pt idx="5">
                  <c:v>1.4177693761814745</c:v>
                </c:pt>
                <c:pt idx="6">
                  <c:v>1.4109848484848484</c:v>
                </c:pt>
                <c:pt idx="7">
                  <c:v>1.4041745730550284</c:v>
                </c:pt>
                <c:pt idx="8">
                  <c:v>1.3957462969996202</c:v>
                </c:pt>
                <c:pt idx="9">
                  <c:v>1.3867781155015197</c:v>
                </c:pt>
                <c:pt idx="10">
                  <c:v>1.140625</c:v>
                </c:pt>
              </c:numCache>
            </c:numRef>
          </c:val>
          <c:smooth val="1"/>
          <c:extLst>
            <c:ext xmlns:c16="http://schemas.microsoft.com/office/drawing/2014/chart" uri="{C3380CC4-5D6E-409C-BE32-E72D297353CC}">
              <c16:uniqueId val="{00000000-8C83-4F21-8C35-C29DDF3C9A3D}"/>
            </c:ext>
          </c:extLst>
        </c:ser>
        <c:dLbls>
          <c:showLegendKey val="0"/>
          <c:showVal val="0"/>
          <c:showCatName val="0"/>
          <c:showSerName val="0"/>
          <c:showPercent val="0"/>
          <c:showBubbleSize val="0"/>
        </c:dLbls>
        <c:hiLowLines>
          <c:spPr>
            <a:ln w="0">
              <a:noFill/>
            </a:ln>
          </c:spPr>
        </c:hiLowLines>
        <c:smooth val="0"/>
        <c:axId val="40226787"/>
        <c:axId val="46669882"/>
      </c:lineChart>
      <c:catAx>
        <c:axId val="40226787"/>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Time (CEST)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6669882"/>
        <c:crosses val="autoZero"/>
        <c:auto val="1"/>
        <c:lblAlgn val="ctr"/>
        <c:lblOffset val="100"/>
        <c:noMultiLvlLbl val="0"/>
      </c:catAx>
      <c:valAx>
        <c:axId val="4666988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Inertia H (seconds)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022678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Non-Synchronous Generation Share Approaching Collapse</a:t>
            </a:r>
          </a:p>
        </c:rich>
      </c:tx>
      <c:overlay val="0"/>
      <c:spPr>
        <a:noFill/>
        <a:ln w="0">
          <a:noFill/>
        </a:ln>
      </c:spPr>
    </c:title>
    <c:autoTitleDeleted val="0"/>
    <c:plotArea>
      <c:layout/>
      <c:lineChart>
        <c:grouping val="standard"/>
        <c:varyColors val="0"/>
        <c:ser>
          <c:idx val="0"/>
          <c:order val="0"/>
          <c:tx>
            <c:strRef>
              <c:f>Pre_Event_15min!$D$4</c:f>
              <c:strCache>
                <c:ptCount val="1"/>
                <c:pt idx="0">
                  <c:v>Renewable %</c:v>
                </c:pt>
              </c:strCache>
            </c:strRef>
          </c:tx>
          <c:spPr>
            <a:ln w="47520">
              <a:solidFill>
                <a:srgbClr val="BE4B48"/>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Pre_Event_15min!$A$5:$A$15</c:f>
              <c:strCache>
                <c:ptCount val="11"/>
                <c:pt idx="0">
                  <c:v>11:00</c:v>
                </c:pt>
                <c:pt idx="1">
                  <c:v>11:15</c:v>
                </c:pt>
                <c:pt idx="2">
                  <c:v>11:30</c:v>
                </c:pt>
                <c:pt idx="3">
                  <c:v>11:45</c:v>
                </c:pt>
                <c:pt idx="4">
                  <c:v>12:00</c:v>
                </c:pt>
                <c:pt idx="5">
                  <c:v>12:03</c:v>
                </c:pt>
                <c:pt idx="6">
                  <c:v>12:07</c:v>
                </c:pt>
                <c:pt idx="7">
                  <c:v>12:15</c:v>
                </c:pt>
                <c:pt idx="8">
                  <c:v>12:19</c:v>
                </c:pt>
                <c:pt idx="9">
                  <c:v>12:21</c:v>
                </c:pt>
                <c:pt idx="10">
                  <c:v>12:30</c:v>
                </c:pt>
              </c:strCache>
            </c:strRef>
          </c:cat>
          <c:val>
            <c:numRef>
              <c:f>Pre_Event_15min!$D$5:$D$15</c:f>
              <c:numCache>
                <c:formatCode>0.0%</c:formatCode>
                <c:ptCount val="11"/>
                <c:pt idx="0">
                  <c:v>0.706959706959707</c:v>
                </c:pt>
                <c:pt idx="1">
                  <c:v>0.70848708487084866</c:v>
                </c:pt>
                <c:pt idx="2">
                  <c:v>0.71003717472118955</c:v>
                </c:pt>
                <c:pt idx="3">
                  <c:v>0.71161048689138573</c:v>
                </c:pt>
                <c:pt idx="4">
                  <c:v>0.71320754716981127</c:v>
                </c:pt>
                <c:pt idx="5">
                  <c:v>0.71644612476370506</c:v>
                </c:pt>
                <c:pt idx="6">
                  <c:v>0.71780303030303028</c:v>
                </c:pt>
                <c:pt idx="7">
                  <c:v>0.71916508538899426</c:v>
                </c:pt>
                <c:pt idx="8">
                  <c:v>0.72085074060007592</c:v>
                </c:pt>
                <c:pt idx="9">
                  <c:v>0.72264437689969607</c:v>
                </c:pt>
                <c:pt idx="10">
                  <c:v>0.77187499999999998</c:v>
                </c:pt>
              </c:numCache>
            </c:numRef>
          </c:val>
          <c:smooth val="1"/>
          <c:extLst>
            <c:ext xmlns:c16="http://schemas.microsoft.com/office/drawing/2014/chart" uri="{C3380CC4-5D6E-409C-BE32-E72D297353CC}">
              <c16:uniqueId val="{00000000-86FC-493E-A88A-0F968E465DB0}"/>
            </c:ext>
          </c:extLst>
        </c:ser>
        <c:dLbls>
          <c:showLegendKey val="0"/>
          <c:showVal val="0"/>
          <c:showCatName val="0"/>
          <c:showSerName val="0"/>
          <c:showPercent val="0"/>
          <c:showBubbleSize val="0"/>
        </c:dLbls>
        <c:hiLowLines>
          <c:spPr>
            <a:ln w="0">
              <a:noFill/>
            </a:ln>
          </c:spPr>
        </c:hiLowLines>
        <c:smooth val="0"/>
        <c:axId val="999048"/>
        <c:axId val="99618769"/>
      </c:lineChart>
      <c:catAx>
        <c:axId val="999048"/>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Time (CEST)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9618769"/>
        <c:crosses val="autoZero"/>
        <c:auto val="1"/>
        <c:lblAlgn val="ctr"/>
        <c:lblOffset val="100"/>
        <c:noMultiLvlLbl val="0"/>
      </c:catAx>
      <c:valAx>
        <c:axId val="9961876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Renewable Share (%)</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9904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Grid Frequency Collapse — 12:32:00 to 12:33:30 CEST</a:t>
            </a:r>
          </a:p>
        </c:rich>
      </c:tx>
      <c:overlay val="0"/>
      <c:spPr>
        <a:noFill/>
        <a:ln w="0">
          <a:noFill/>
        </a:ln>
      </c:spPr>
    </c:title>
    <c:autoTitleDeleted val="0"/>
    <c:plotArea>
      <c:layout/>
      <c:lineChart>
        <c:grouping val="standard"/>
        <c:varyColors val="0"/>
        <c:ser>
          <c:idx val="0"/>
          <c:order val="0"/>
          <c:tx>
            <c:strRef>
              <c:f>Second_by_Second!$H$5</c:f>
              <c:strCache>
                <c:ptCount val="1"/>
                <c:pt idx="0">
                  <c:v>Frequency (Hz)</c:v>
                </c:pt>
              </c:strCache>
            </c:strRef>
          </c:tx>
          <c:spPr>
            <a:ln w="47520">
              <a:solidFill>
                <a:srgbClr val="BE4B48"/>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Second_by_Second!$B$6:$B$96</c:f>
              <c:numCache>
                <c:formatCode>General</c:formatCode>
                <c:ptCount val="9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numCache>
            </c:numRef>
          </c:cat>
          <c:val>
            <c:numRef>
              <c:f>Second_by_Second!$H$6:$H$96</c:f>
              <c:numCache>
                <c:formatCode>0.000</c:formatCode>
                <c:ptCount val="91"/>
                <c:pt idx="0">
                  <c:v>49.94</c:v>
                </c:pt>
                <c:pt idx="1">
                  <c:v>50.5</c:v>
                </c:pt>
                <c:pt idx="2">
                  <c:v>50.5</c:v>
                </c:pt>
                <c:pt idx="3">
                  <c:v>50.5</c:v>
                </c:pt>
                <c:pt idx="4">
                  <c:v>50.5</c:v>
                </c:pt>
                <c:pt idx="5">
                  <c:v>50.5</c:v>
                </c:pt>
                <c:pt idx="6">
                  <c:v>50.5</c:v>
                </c:pt>
                <c:pt idx="7">
                  <c:v>50.5</c:v>
                </c:pt>
                <c:pt idx="8">
                  <c:v>50.5</c:v>
                </c:pt>
                <c:pt idx="9">
                  <c:v>50.5</c:v>
                </c:pt>
                <c:pt idx="10">
                  <c:v>50.5</c:v>
                </c:pt>
                <c:pt idx="11">
                  <c:v>50.5</c:v>
                </c:pt>
                <c:pt idx="12">
                  <c:v>50.5</c:v>
                </c:pt>
                <c:pt idx="13">
                  <c:v>50.5</c:v>
                </c:pt>
                <c:pt idx="14">
                  <c:v>50.5</c:v>
                </c:pt>
                <c:pt idx="15">
                  <c:v>50.5</c:v>
                </c:pt>
                <c:pt idx="16">
                  <c:v>50.5</c:v>
                </c:pt>
                <c:pt idx="17">
                  <c:v>50.5</c:v>
                </c:pt>
                <c:pt idx="18">
                  <c:v>50.5</c:v>
                </c:pt>
                <c:pt idx="19">
                  <c:v>50.5</c:v>
                </c:pt>
                <c:pt idx="20">
                  <c:v>50.5</c:v>
                </c:pt>
                <c:pt idx="21">
                  <c:v>50.5</c:v>
                </c:pt>
                <c:pt idx="22">
                  <c:v>50.5</c:v>
                </c:pt>
                <c:pt idx="23">
                  <c:v>50.5</c:v>
                </c:pt>
                <c:pt idx="24">
                  <c:v>50.5</c:v>
                </c:pt>
                <c:pt idx="25">
                  <c:v>50.5</c:v>
                </c:pt>
                <c:pt idx="26">
                  <c:v>50.5</c:v>
                </c:pt>
                <c:pt idx="27">
                  <c:v>50.5</c:v>
                </c:pt>
                <c:pt idx="28">
                  <c:v>50.5</c:v>
                </c:pt>
                <c:pt idx="29">
                  <c:v>50.5</c:v>
                </c:pt>
                <c:pt idx="30">
                  <c:v>50.5</c:v>
                </c:pt>
                <c:pt idx="31">
                  <c:v>50.5</c:v>
                </c:pt>
                <c:pt idx="32">
                  <c:v>50.5</c:v>
                </c:pt>
                <c:pt idx="33">
                  <c:v>50.5</c:v>
                </c:pt>
                <c:pt idx="34">
                  <c:v>50.5</c:v>
                </c:pt>
                <c:pt idx="35">
                  <c:v>50.5</c:v>
                </c:pt>
                <c:pt idx="36">
                  <c:v>50.5</c:v>
                </c:pt>
                <c:pt idx="37">
                  <c:v>50.5</c:v>
                </c:pt>
                <c:pt idx="38">
                  <c:v>50.5</c:v>
                </c:pt>
                <c:pt idx="39">
                  <c:v>50.5</c:v>
                </c:pt>
                <c:pt idx="40">
                  <c:v>50.5</c:v>
                </c:pt>
                <c:pt idx="41">
                  <c:v>50.5</c:v>
                </c:pt>
                <c:pt idx="42">
                  <c:v>50.5</c:v>
                </c:pt>
                <c:pt idx="43">
                  <c:v>50.5</c:v>
                </c:pt>
                <c:pt idx="44">
                  <c:v>50.5</c:v>
                </c:pt>
                <c:pt idx="45">
                  <c:v>50.5</c:v>
                </c:pt>
                <c:pt idx="46">
                  <c:v>50.5</c:v>
                </c:pt>
                <c:pt idx="47">
                  <c:v>50.5</c:v>
                </c:pt>
                <c:pt idx="48">
                  <c:v>50.5</c:v>
                </c:pt>
                <c:pt idx="49">
                  <c:v>50.5</c:v>
                </c:pt>
                <c:pt idx="50">
                  <c:v>50.5</c:v>
                </c:pt>
                <c:pt idx="51">
                  <c:v>50.5</c:v>
                </c:pt>
                <c:pt idx="52">
                  <c:v>50.5</c:v>
                </c:pt>
                <c:pt idx="53">
                  <c:v>50.5</c:v>
                </c:pt>
                <c:pt idx="54">
                  <c:v>50.5</c:v>
                </c:pt>
                <c:pt idx="55">
                  <c:v>50.5</c:v>
                </c:pt>
                <c:pt idx="56">
                  <c:v>50.5</c:v>
                </c:pt>
                <c:pt idx="57">
                  <c:v>49.914000000000001</c:v>
                </c:pt>
                <c:pt idx="58">
                  <c:v>50.5</c:v>
                </c:pt>
                <c:pt idx="59">
                  <c:v>50.5</c:v>
                </c:pt>
                <c:pt idx="60">
                  <c:v>50.5</c:v>
                </c:pt>
                <c:pt idx="61">
                  <c:v>50.5</c:v>
                </c:pt>
                <c:pt idx="62">
                  <c:v>50.5</c:v>
                </c:pt>
                <c:pt idx="63">
                  <c:v>50.5</c:v>
                </c:pt>
                <c:pt idx="64">
                  <c:v>50.5</c:v>
                </c:pt>
                <c:pt idx="65">
                  <c:v>50.5</c:v>
                </c:pt>
                <c:pt idx="66">
                  <c:v>50.5</c:v>
                </c:pt>
                <c:pt idx="67">
                  <c:v>50.5</c:v>
                </c:pt>
                <c:pt idx="68">
                  <c:v>50.5</c:v>
                </c:pt>
                <c:pt idx="69">
                  <c:v>50.5</c:v>
                </c:pt>
                <c:pt idx="70">
                  <c:v>50.5</c:v>
                </c:pt>
                <c:pt idx="71">
                  <c:v>50.5</c:v>
                </c:pt>
                <c:pt idx="72">
                  <c:v>50.5</c:v>
                </c:pt>
                <c:pt idx="73">
                  <c:v>50.5</c:v>
                </c:pt>
                <c:pt idx="74">
                  <c:v>50.5</c:v>
                </c:pt>
                <c:pt idx="75">
                  <c:v>50.5</c:v>
                </c:pt>
                <c:pt idx="76">
                  <c:v>49.85</c:v>
                </c:pt>
                <c:pt idx="77">
                  <c:v>50.277999999999999</c:v>
                </c:pt>
                <c:pt idx="78">
                  <c:v>47.95</c:v>
                </c:pt>
                <c:pt idx="79">
                  <c:v>49.546999999999997</c:v>
                </c:pt>
                <c:pt idx="80">
                  <c:v>50.5</c:v>
                </c:pt>
                <c:pt idx="81">
                  <c:v>47.5</c:v>
                </c:pt>
                <c:pt idx="82">
                  <c:v>50.5</c:v>
                </c:pt>
                <c:pt idx="83">
                  <c:v>50.5</c:v>
                </c:pt>
                <c:pt idx="84">
                  <c:v>0</c:v>
                </c:pt>
                <c:pt idx="85">
                  <c:v>0</c:v>
                </c:pt>
                <c:pt idx="86">
                  <c:v>0</c:v>
                </c:pt>
                <c:pt idx="87">
                  <c:v>0</c:v>
                </c:pt>
                <c:pt idx="88">
                  <c:v>0</c:v>
                </c:pt>
                <c:pt idx="89">
                  <c:v>0</c:v>
                </c:pt>
                <c:pt idx="90">
                  <c:v>0</c:v>
                </c:pt>
              </c:numCache>
            </c:numRef>
          </c:val>
          <c:smooth val="1"/>
          <c:extLst>
            <c:ext xmlns:c16="http://schemas.microsoft.com/office/drawing/2014/chart" uri="{C3380CC4-5D6E-409C-BE32-E72D297353CC}">
              <c16:uniqueId val="{00000000-2DB7-49CD-B1A9-AC88ACDA7E70}"/>
            </c:ext>
          </c:extLst>
        </c:ser>
        <c:dLbls>
          <c:showLegendKey val="0"/>
          <c:showVal val="0"/>
          <c:showCatName val="0"/>
          <c:showSerName val="0"/>
          <c:showPercent val="0"/>
          <c:showBubbleSize val="0"/>
        </c:dLbls>
        <c:hiLowLines>
          <c:spPr>
            <a:ln w="0">
              <a:noFill/>
            </a:ln>
          </c:spPr>
        </c:hiLowLines>
        <c:smooth val="0"/>
        <c:axId val="1345539"/>
        <c:axId val="93816429"/>
      </c:lineChart>
      <c:catAx>
        <c:axId val="1345539"/>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Seconds from 12:32:00</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3816429"/>
        <c:crosses val="autoZero"/>
        <c:auto val="1"/>
        <c:lblAlgn val="ctr"/>
        <c:lblOffset val="100"/>
        <c:noMultiLvlLbl val="0"/>
      </c:catAx>
      <c:valAx>
        <c:axId val="9381642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Frequency (Hz)</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34553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Power Balance — Generation Pm vs Demand Pe (Cascading Loss)</a:t>
            </a:r>
          </a:p>
        </c:rich>
      </c:tx>
      <c:overlay val="0"/>
      <c:spPr>
        <a:noFill/>
        <a:ln w="0">
          <a:noFill/>
        </a:ln>
      </c:spPr>
    </c:title>
    <c:autoTitleDeleted val="0"/>
    <c:plotArea>
      <c:layout/>
      <c:lineChart>
        <c:grouping val="standard"/>
        <c:varyColors val="0"/>
        <c:ser>
          <c:idx val="0"/>
          <c:order val="0"/>
          <c:tx>
            <c:strRef>
              <c:f>Second_by_Second!$C$5</c:f>
              <c:strCache>
                <c:ptCount val="1"/>
                <c:pt idx="0">
                  <c:v>Demand Pe (MW)</c:v>
                </c:pt>
              </c:strCache>
            </c:strRef>
          </c:tx>
          <c:spPr>
            <a:ln w="47520">
              <a:solidFill>
                <a:srgbClr val="AA433F"/>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Second_by_Second!$B$6:$B$96</c:f>
              <c:numCache>
                <c:formatCode>General</c:formatCode>
                <c:ptCount val="9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numCache>
            </c:numRef>
          </c:cat>
          <c:val>
            <c:numRef>
              <c:f>Second_by_Second!$C$6:$C$96</c:f>
              <c:numCache>
                <c:formatCode>#,##0</c:formatCode>
                <c:ptCount val="91"/>
                <c:pt idx="0">
                  <c:v>29250</c:v>
                </c:pt>
                <c:pt idx="1">
                  <c:v>29250</c:v>
                </c:pt>
                <c:pt idx="2">
                  <c:v>29250</c:v>
                </c:pt>
                <c:pt idx="3">
                  <c:v>29250</c:v>
                </c:pt>
                <c:pt idx="4">
                  <c:v>29250</c:v>
                </c:pt>
                <c:pt idx="5">
                  <c:v>29250</c:v>
                </c:pt>
                <c:pt idx="6">
                  <c:v>29250</c:v>
                </c:pt>
                <c:pt idx="7">
                  <c:v>29250</c:v>
                </c:pt>
                <c:pt idx="8">
                  <c:v>29250</c:v>
                </c:pt>
                <c:pt idx="9">
                  <c:v>29250</c:v>
                </c:pt>
                <c:pt idx="10">
                  <c:v>29250</c:v>
                </c:pt>
                <c:pt idx="11">
                  <c:v>29250</c:v>
                </c:pt>
                <c:pt idx="12">
                  <c:v>29250</c:v>
                </c:pt>
                <c:pt idx="13">
                  <c:v>29250</c:v>
                </c:pt>
                <c:pt idx="14">
                  <c:v>29250</c:v>
                </c:pt>
                <c:pt idx="15">
                  <c:v>29250</c:v>
                </c:pt>
                <c:pt idx="16">
                  <c:v>29250</c:v>
                </c:pt>
                <c:pt idx="17">
                  <c:v>29250</c:v>
                </c:pt>
                <c:pt idx="18">
                  <c:v>29250</c:v>
                </c:pt>
                <c:pt idx="19">
                  <c:v>29250</c:v>
                </c:pt>
                <c:pt idx="20">
                  <c:v>29250</c:v>
                </c:pt>
                <c:pt idx="21">
                  <c:v>29250</c:v>
                </c:pt>
                <c:pt idx="22">
                  <c:v>29250</c:v>
                </c:pt>
                <c:pt idx="23">
                  <c:v>29250</c:v>
                </c:pt>
                <c:pt idx="24">
                  <c:v>29250</c:v>
                </c:pt>
                <c:pt idx="25">
                  <c:v>29250</c:v>
                </c:pt>
                <c:pt idx="26">
                  <c:v>29250</c:v>
                </c:pt>
                <c:pt idx="27">
                  <c:v>29250</c:v>
                </c:pt>
                <c:pt idx="28">
                  <c:v>29250</c:v>
                </c:pt>
                <c:pt idx="29">
                  <c:v>29250</c:v>
                </c:pt>
                <c:pt idx="30">
                  <c:v>29250</c:v>
                </c:pt>
                <c:pt idx="31">
                  <c:v>29250</c:v>
                </c:pt>
                <c:pt idx="32">
                  <c:v>29250</c:v>
                </c:pt>
                <c:pt idx="33">
                  <c:v>29250</c:v>
                </c:pt>
                <c:pt idx="34">
                  <c:v>29250</c:v>
                </c:pt>
                <c:pt idx="35">
                  <c:v>29250</c:v>
                </c:pt>
                <c:pt idx="36">
                  <c:v>29250</c:v>
                </c:pt>
                <c:pt idx="37">
                  <c:v>29250</c:v>
                </c:pt>
                <c:pt idx="38">
                  <c:v>29250</c:v>
                </c:pt>
                <c:pt idx="39">
                  <c:v>29250</c:v>
                </c:pt>
                <c:pt idx="40">
                  <c:v>29250</c:v>
                </c:pt>
                <c:pt idx="41">
                  <c:v>29250</c:v>
                </c:pt>
                <c:pt idx="42">
                  <c:v>29250</c:v>
                </c:pt>
                <c:pt idx="43">
                  <c:v>29250</c:v>
                </c:pt>
                <c:pt idx="44">
                  <c:v>29250</c:v>
                </c:pt>
                <c:pt idx="45">
                  <c:v>29250</c:v>
                </c:pt>
                <c:pt idx="46">
                  <c:v>29250</c:v>
                </c:pt>
                <c:pt idx="47">
                  <c:v>29250</c:v>
                </c:pt>
                <c:pt idx="48">
                  <c:v>29250</c:v>
                </c:pt>
                <c:pt idx="49">
                  <c:v>29250</c:v>
                </c:pt>
                <c:pt idx="50">
                  <c:v>29250</c:v>
                </c:pt>
                <c:pt idx="51">
                  <c:v>29250</c:v>
                </c:pt>
                <c:pt idx="52">
                  <c:v>29250</c:v>
                </c:pt>
                <c:pt idx="53">
                  <c:v>29250</c:v>
                </c:pt>
                <c:pt idx="54">
                  <c:v>29250</c:v>
                </c:pt>
                <c:pt idx="55">
                  <c:v>29250</c:v>
                </c:pt>
                <c:pt idx="56">
                  <c:v>29250</c:v>
                </c:pt>
                <c:pt idx="57">
                  <c:v>29250</c:v>
                </c:pt>
                <c:pt idx="58">
                  <c:v>29250</c:v>
                </c:pt>
                <c:pt idx="59">
                  <c:v>29250</c:v>
                </c:pt>
                <c:pt idx="60">
                  <c:v>29250</c:v>
                </c:pt>
                <c:pt idx="61">
                  <c:v>29250</c:v>
                </c:pt>
                <c:pt idx="62">
                  <c:v>29250</c:v>
                </c:pt>
                <c:pt idx="63">
                  <c:v>29250</c:v>
                </c:pt>
                <c:pt idx="64">
                  <c:v>29250</c:v>
                </c:pt>
                <c:pt idx="65">
                  <c:v>29250</c:v>
                </c:pt>
                <c:pt idx="66">
                  <c:v>29250</c:v>
                </c:pt>
                <c:pt idx="67">
                  <c:v>29250</c:v>
                </c:pt>
                <c:pt idx="68">
                  <c:v>29250</c:v>
                </c:pt>
                <c:pt idx="69">
                  <c:v>29250</c:v>
                </c:pt>
                <c:pt idx="70">
                  <c:v>29250</c:v>
                </c:pt>
                <c:pt idx="71">
                  <c:v>29250</c:v>
                </c:pt>
                <c:pt idx="72">
                  <c:v>29250</c:v>
                </c:pt>
                <c:pt idx="73">
                  <c:v>29250</c:v>
                </c:pt>
                <c:pt idx="74">
                  <c:v>29250</c:v>
                </c:pt>
                <c:pt idx="75">
                  <c:v>29250</c:v>
                </c:pt>
                <c:pt idx="76">
                  <c:v>29250</c:v>
                </c:pt>
                <c:pt idx="77">
                  <c:v>29250</c:v>
                </c:pt>
                <c:pt idx="78">
                  <c:v>27750</c:v>
                </c:pt>
                <c:pt idx="79">
                  <c:v>27750</c:v>
                </c:pt>
                <c:pt idx="80">
                  <c:v>25250</c:v>
                </c:pt>
                <c:pt idx="81">
                  <c:v>21000</c:v>
                </c:pt>
                <c:pt idx="82">
                  <c:v>17000</c:v>
                </c:pt>
                <c:pt idx="83">
                  <c:v>17000</c:v>
                </c:pt>
                <c:pt idx="84">
                  <c:v>17000</c:v>
                </c:pt>
                <c:pt idx="85">
                  <c:v>17000</c:v>
                </c:pt>
                <c:pt idx="86">
                  <c:v>17000</c:v>
                </c:pt>
                <c:pt idx="87">
                  <c:v>17000</c:v>
                </c:pt>
                <c:pt idx="88">
                  <c:v>17000</c:v>
                </c:pt>
                <c:pt idx="89">
                  <c:v>17000</c:v>
                </c:pt>
                <c:pt idx="90">
                  <c:v>17000</c:v>
                </c:pt>
              </c:numCache>
            </c:numRef>
          </c:val>
          <c:smooth val="1"/>
          <c:extLst>
            <c:ext xmlns:c16="http://schemas.microsoft.com/office/drawing/2014/chart" uri="{C3380CC4-5D6E-409C-BE32-E72D297353CC}">
              <c16:uniqueId val="{00000000-6064-4809-81A5-C92027D04F26}"/>
            </c:ext>
          </c:extLst>
        </c:ser>
        <c:ser>
          <c:idx val="1"/>
          <c:order val="1"/>
          <c:tx>
            <c:strRef>
              <c:f>Second_by_Second!$D$5</c:f>
              <c:strCache>
                <c:ptCount val="1"/>
                <c:pt idx="0">
                  <c:v>Generation Pm (MW)</c:v>
                </c:pt>
              </c:strCache>
            </c:strRef>
          </c:tx>
          <c:spPr>
            <a:ln w="47520">
              <a:solidFill>
                <a:srgbClr val="CC8F8E"/>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Second_by_Second!$B$6:$B$96</c:f>
              <c:numCache>
                <c:formatCode>General</c:formatCode>
                <c:ptCount val="9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numCache>
            </c:numRef>
          </c:cat>
          <c:val>
            <c:numRef>
              <c:f>Second_by_Second!$D$6:$D$96</c:f>
              <c:numCache>
                <c:formatCode>#,##0</c:formatCode>
                <c:ptCount val="91"/>
                <c:pt idx="0">
                  <c:v>32000</c:v>
                </c:pt>
                <c:pt idx="1">
                  <c:v>32000</c:v>
                </c:pt>
                <c:pt idx="2">
                  <c:v>32000</c:v>
                </c:pt>
                <c:pt idx="3">
                  <c:v>32000</c:v>
                </c:pt>
                <c:pt idx="4">
                  <c:v>32000</c:v>
                </c:pt>
                <c:pt idx="5">
                  <c:v>32000</c:v>
                </c:pt>
                <c:pt idx="6">
                  <c:v>32000</c:v>
                </c:pt>
                <c:pt idx="7">
                  <c:v>32000</c:v>
                </c:pt>
                <c:pt idx="8">
                  <c:v>32000</c:v>
                </c:pt>
                <c:pt idx="9">
                  <c:v>32000</c:v>
                </c:pt>
                <c:pt idx="10">
                  <c:v>32000</c:v>
                </c:pt>
                <c:pt idx="11">
                  <c:v>32000</c:v>
                </c:pt>
                <c:pt idx="12">
                  <c:v>32000</c:v>
                </c:pt>
                <c:pt idx="13">
                  <c:v>32000</c:v>
                </c:pt>
                <c:pt idx="14">
                  <c:v>32000</c:v>
                </c:pt>
                <c:pt idx="15">
                  <c:v>32000</c:v>
                </c:pt>
                <c:pt idx="16">
                  <c:v>32000</c:v>
                </c:pt>
                <c:pt idx="17">
                  <c:v>32000</c:v>
                </c:pt>
                <c:pt idx="18">
                  <c:v>32000</c:v>
                </c:pt>
                <c:pt idx="19">
                  <c:v>32000</c:v>
                </c:pt>
                <c:pt idx="20">
                  <c:v>32000</c:v>
                </c:pt>
                <c:pt idx="21">
                  <c:v>32000</c:v>
                </c:pt>
                <c:pt idx="22">
                  <c:v>32000</c:v>
                </c:pt>
                <c:pt idx="23">
                  <c:v>32000</c:v>
                </c:pt>
                <c:pt idx="24">
                  <c:v>32000</c:v>
                </c:pt>
                <c:pt idx="25">
                  <c:v>32000</c:v>
                </c:pt>
                <c:pt idx="26">
                  <c:v>32000</c:v>
                </c:pt>
                <c:pt idx="27">
                  <c:v>32000</c:v>
                </c:pt>
                <c:pt idx="28">
                  <c:v>32000</c:v>
                </c:pt>
                <c:pt idx="29">
                  <c:v>32000</c:v>
                </c:pt>
                <c:pt idx="30">
                  <c:v>32000</c:v>
                </c:pt>
                <c:pt idx="31">
                  <c:v>32000</c:v>
                </c:pt>
                <c:pt idx="32">
                  <c:v>32000</c:v>
                </c:pt>
                <c:pt idx="33">
                  <c:v>32000</c:v>
                </c:pt>
                <c:pt idx="34">
                  <c:v>32000</c:v>
                </c:pt>
                <c:pt idx="35">
                  <c:v>32000</c:v>
                </c:pt>
                <c:pt idx="36">
                  <c:v>32000</c:v>
                </c:pt>
                <c:pt idx="37">
                  <c:v>32000</c:v>
                </c:pt>
                <c:pt idx="38">
                  <c:v>32000</c:v>
                </c:pt>
                <c:pt idx="39">
                  <c:v>32000</c:v>
                </c:pt>
                <c:pt idx="40">
                  <c:v>32000</c:v>
                </c:pt>
                <c:pt idx="41">
                  <c:v>32000</c:v>
                </c:pt>
                <c:pt idx="42">
                  <c:v>32000</c:v>
                </c:pt>
                <c:pt idx="43">
                  <c:v>32000</c:v>
                </c:pt>
                <c:pt idx="44">
                  <c:v>32000</c:v>
                </c:pt>
                <c:pt idx="45">
                  <c:v>32000</c:v>
                </c:pt>
                <c:pt idx="46">
                  <c:v>32000</c:v>
                </c:pt>
                <c:pt idx="47">
                  <c:v>32000</c:v>
                </c:pt>
                <c:pt idx="48">
                  <c:v>32000</c:v>
                </c:pt>
                <c:pt idx="49">
                  <c:v>32000</c:v>
                </c:pt>
                <c:pt idx="50">
                  <c:v>32000</c:v>
                </c:pt>
                <c:pt idx="51">
                  <c:v>32000</c:v>
                </c:pt>
                <c:pt idx="52">
                  <c:v>32000</c:v>
                </c:pt>
                <c:pt idx="53">
                  <c:v>32000</c:v>
                </c:pt>
                <c:pt idx="54">
                  <c:v>32000</c:v>
                </c:pt>
                <c:pt idx="55">
                  <c:v>32000</c:v>
                </c:pt>
                <c:pt idx="56">
                  <c:v>32000</c:v>
                </c:pt>
                <c:pt idx="57">
                  <c:v>31645</c:v>
                </c:pt>
                <c:pt idx="58">
                  <c:v>31645</c:v>
                </c:pt>
                <c:pt idx="59">
                  <c:v>31645</c:v>
                </c:pt>
                <c:pt idx="60">
                  <c:v>31645</c:v>
                </c:pt>
                <c:pt idx="61">
                  <c:v>31645</c:v>
                </c:pt>
                <c:pt idx="62">
                  <c:v>31645</c:v>
                </c:pt>
                <c:pt idx="63">
                  <c:v>31645</c:v>
                </c:pt>
                <c:pt idx="64">
                  <c:v>31645</c:v>
                </c:pt>
                <c:pt idx="65">
                  <c:v>31645</c:v>
                </c:pt>
                <c:pt idx="66">
                  <c:v>31645</c:v>
                </c:pt>
                <c:pt idx="67">
                  <c:v>31645</c:v>
                </c:pt>
                <c:pt idx="68">
                  <c:v>31645</c:v>
                </c:pt>
                <c:pt idx="69">
                  <c:v>31645</c:v>
                </c:pt>
                <c:pt idx="70">
                  <c:v>31645</c:v>
                </c:pt>
                <c:pt idx="71">
                  <c:v>31645</c:v>
                </c:pt>
                <c:pt idx="72">
                  <c:v>31645</c:v>
                </c:pt>
                <c:pt idx="73">
                  <c:v>31645</c:v>
                </c:pt>
                <c:pt idx="74">
                  <c:v>31645</c:v>
                </c:pt>
                <c:pt idx="75">
                  <c:v>31645</c:v>
                </c:pt>
                <c:pt idx="76">
                  <c:v>30845</c:v>
                </c:pt>
                <c:pt idx="77">
                  <c:v>29800</c:v>
                </c:pt>
                <c:pt idx="78">
                  <c:v>29800</c:v>
                </c:pt>
                <c:pt idx="79">
                  <c:v>29800</c:v>
                </c:pt>
                <c:pt idx="80">
                  <c:v>29800</c:v>
                </c:pt>
                <c:pt idx="81">
                  <c:v>24800</c:v>
                </c:pt>
                <c:pt idx="82">
                  <c:v>24800</c:v>
                </c:pt>
                <c:pt idx="83">
                  <c:v>24800</c:v>
                </c:pt>
                <c:pt idx="84">
                  <c:v>16000</c:v>
                </c:pt>
                <c:pt idx="85">
                  <c:v>16000</c:v>
                </c:pt>
                <c:pt idx="86">
                  <c:v>16000</c:v>
                </c:pt>
                <c:pt idx="87">
                  <c:v>16000</c:v>
                </c:pt>
                <c:pt idx="88">
                  <c:v>16000</c:v>
                </c:pt>
                <c:pt idx="89">
                  <c:v>16000</c:v>
                </c:pt>
                <c:pt idx="90">
                  <c:v>16000</c:v>
                </c:pt>
              </c:numCache>
            </c:numRef>
          </c:val>
          <c:smooth val="1"/>
          <c:extLst>
            <c:ext xmlns:c16="http://schemas.microsoft.com/office/drawing/2014/chart" uri="{C3380CC4-5D6E-409C-BE32-E72D297353CC}">
              <c16:uniqueId val="{00000001-6064-4809-81A5-C92027D04F26}"/>
            </c:ext>
          </c:extLst>
        </c:ser>
        <c:dLbls>
          <c:showLegendKey val="0"/>
          <c:showVal val="0"/>
          <c:showCatName val="0"/>
          <c:showSerName val="0"/>
          <c:showPercent val="0"/>
          <c:showBubbleSize val="0"/>
        </c:dLbls>
        <c:hiLowLines>
          <c:spPr>
            <a:ln w="0">
              <a:noFill/>
            </a:ln>
          </c:spPr>
        </c:hiLowLines>
        <c:smooth val="0"/>
        <c:axId val="32843568"/>
        <c:axId val="60699755"/>
      </c:lineChart>
      <c:catAx>
        <c:axId val="32843568"/>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Seconds from 12:32:00</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0699755"/>
        <c:crosses val="autoZero"/>
        <c:auto val="1"/>
        <c:lblAlgn val="ctr"/>
        <c:lblOffset val="100"/>
        <c:noMultiLvlLbl val="0"/>
      </c:catAx>
      <c:valAx>
        <c:axId val="6069975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Power (MW)</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284356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System Inertia H — Collapse During Cascade</a:t>
            </a:r>
          </a:p>
        </c:rich>
      </c:tx>
      <c:overlay val="0"/>
      <c:spPr>
        <a:noFill/>
        <a:ln w="0">
          <a:noFill/>
        </a:ln>
      </c:spPr>
    </c:title>
    <c:autoTitleDeleted val="0"/>
    <c:plotArea>
      <c:layout/>
      <c:lineChart>
        <c:grouping val="standard"/>
        <c:varyColors val="0"/>
        <c:ser>
          <c:idx val="0"/>
          <c:order val="0"/>
          <c:tx>
            <c:strRef>
              <c:f>Second_by_Second!$F$5</c:f>
              <c:strCache>
                <c:ptCount val="1"/>
                <c:pt idx="0">
                  <c:v>Inertia H (s)</c:v>
                </c:pt>
              </c:strCache>
            </c:strRef>
          </c:tx>
          <c:spPr>
            <a:ln w="47520">
              <a:solidFill>
                <a:srgbClr val="BE4B48"/>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Second_by_Second!$B$6:$B$96</c:f>
              <c:numCache>
                <c:formatCode>General</c:formatCode>
                <c:ptCount val="9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numCache>
            </c:numRef>
          </c:cat>
          <c:val>
            <c:numRef>
              <c:f>Second_by_Second!$F$6:$F$96</c:f>
              <c:numCache>
                <c:formatCode>0.000</c:formatCode>
                <c:ptCount val="91"/>
                <c:pt idx="0">
                  <c:v>1.141</c:v>
                </c:pt>
                <c:pt idx="1">
                  <c:v>1.141</c:v>
                </c:pt>
                <c:pt idx="2">
                  <c:v>1.141</c:v>
                </c:pt>
                <c:pt idx="3">
                  <c:v>1.141</c:v>
                </c:pt>
                <c:pt idx="4">
                  <c:v>1.141</c:v>
                </c:pt>
                <c:pt idx="5">
                  <c:v>1.141</c:v>
                </c:pt>
                <c:pt idx="6">
                  <c:v>1.141</c:v>
                </c:pt>
                <c:pt idx="7">
                  <c:v>1.141</c:v>
                </c:pt>
                <c:pt idx="8">
                  <c:v>1.141</c:v>
                </c:pt>
                <c:pt idx="9">
                  <c:v>1.141</c:v>
                </c:pt>
                <c:pt idx="10">
                  <c:v>1.141</c:v>
                </c:pt>
                <c:pt idx="11">
                  <c:v>1.141</c:v>
                </c:pt>
                <c:pt idx="12">
                  <c:v>1.141</c:v>
                </c:pt>
                <c:pt idx="13">
                  <c:v>1.141</c:v>
                </c:pt>
                <c:pt idx="14">
                  <c:v>1.141</c:v>
                </c:pt>
                <c:pt idx="15">
                  <c:v>1.141</c:v>
                </c:pt>
                <c:pt idx="16">
                  <c:v>1.141</c:v>
                </c:pt>
                <c:pt idx="17">
                  <c:v>1.141</c:v>
                </c:pt>
                <c:pt idx="18">
                  <c:v>1.141</c:v>
                </c:pt>
                <c:pt idx="19">
                  <c:v>1.141</c:v>
                </c:pt>
                <c:pt idx="20">
                  <c:v>1.141</c:v>
                </c:pt>
                <c:pt idx="21">
                  <c:v>1.141</c:v>
                </c:pt>
                <c:pt idx="22">
                  <c:v>1.141</c:v>
                </c:pt>
                <c:pt idx="23">
                  <c:v>1.141</c:v>
                </c:pt>
                <c:pt idx="24">
                  <c:v>1.141</c:v>
                </c:pt>
                <c:pt idx="25">
                  <c:v>1.141</c:v>
                </c:pt>
                <c:pt idx="26">
                  <c:v>1.141</c:v>
                </c:pt>
                <c:pt idx="27">
                  <c:v>1.141</c:v>
                </c:pt>
                <c:pt idx="28">
                  <c:v>1.141</c:v>
                </c:pt>
                <c:pt idx="29">
                  <c:v>1.141</c:v>
                </c:pt>
                <c:pt idx="30">
                  <c:v>1.141</c:v>
                </c:pt>
                <c:pt idx="31">
                  <c:v>1.141</c:v>
                </c:pt>
                <c:pt idx="32">
                  <c:v>1.141</c:v>
                </c:pt>
                <c:pt idx="33">
                  <c:v>1.141</c:v>
                </c:pt>
                <c:pt idx="34">
                  <c:v>1.141</c:v>
                </c:pt>
                <c:pt idx="35">
                  <c:v>1.141</c:v>
                </c:pt>
                <c:pt idx="36">
                  <c:v>1.141</c:v>
                </c:pt>
                <c:pt idx="37">
                  <c:v>1.141</c:v>
                </c:pt>
                <c:pt idx="38">
                  <c:v>1.141</c:v>
                </c:pt>
                <c:pt idx="39">
                  <c:v>1.141</c:v>
                </c:pt>
                <c:pt idx="40">
                  <c:v>1.141</c:v>
                </c:pt>
                <c:pt idx="41">
                  <c:v>1.141</c:v>
                </c:pt>
                <c:pt idx="42">
                  <c:v>1.141</c:v>
                </c:pt>
                <c:pt idx="43">
                  <c:v>1.141</c:v>
                </c:pt>
                <c:pt idx="44">
                  <c:v>1.141</c:v>
                </c:pt>
                <c:pt idx="45">
                  <c:v>1.141</c:v>
                </c:pt>
                <c:pt idx="46">
                  <c:v>1.141</c:v>
                </c:pt>
                <c:pt idx="47">
                  <c:v>1.141</c:v>
                </c:pt>
                <c:pt idx="48">
                  <c:v>1.141</c:v>
                </c:pt>
                <c:pt idx="49">
                  <c:v>1.141</c:v>
                </c:pt>
                <c:pt idx="50">
                  <c:v>1.141</c:v>
                </c:pt>
                <c:pt idx="51">
                  <c:v>1.141</c:v>
                </c:pt>
                <c:pt idx="52">
                  <c:v>1.141</c:v>
                </c:pt>
                <c:pt idx="53">
                  <c:v>1.141</c:v>
                </c:pt>
                <c:pt idx="54">
                  <c:v>1.141</c:v>
                </c:pt>
                <c:pt idx="55">
                  <c:v>1.141</c:v>
                </c:pt>
                <c:pt idx="56">
                  <c:v>1.141</c:v>
                </c:pt>
                <c:pt idx="57">
                  <c:v>1.131</c:v>
                </c:pt>
                <c:pt idx="58">
                  <c:v>1.131</c:v>
                </c:pt>
                <c:pt idx="59">
                  <c:v>1.131</c:v>
                </c:pt>
                <c:pt idx="60">
                  <c:v>1.131</c:v>
                </c:pt>
                <c:pt idx="61">
                  <c:v>1.131</c:v>
                </c:pt>
                <c:pt idx="62">
                  <c:v>1.131</c:v>
                </c:pt>
                <c:pt idx="63">
                  <c:v>1.131</c:v>
                </c:pt>
                <c:pt idx="64">
                  <c:v>1.131</c:v>
                </c:pt>
                <c:pt idx="65">
                  <c:v>1.131</c:v>
                </c:pt>
                <c:pt idx="66">
                  <c:v>1.131</c:v>
                </c:pt>
                <c:pt idx="67">
                  <c:v>1.131</c:v>
                </c:pt>
                <c:pt idx="68">
                  <c:v>1.131</c:v>
                </c:pt>
                <c:pt idx="69">
                  <c:v>1.131</c:v>
                </c:pt>
                <c:pt idx="70">
                  <c:v>1.131</c:v>
                </c:pt>
                <c:pt idx="71">
                  <c:v>1.131</c:v>
                </c:pt>
                <c:pt idx="72">
                  <c:v>1.131</c:v>
                </c:pt>
                <c:pt idx="73">
                  <c:v>1.131</c:v>
                </c:pt>
                <c:pt idx="74">
                  <c:v>1.131</c:v>
                </c:pt>
                <c:pt idx="75">
                  <c:v>1.131</c:v>
                </c:pt>
                <c:pt idx="76">
                  <c:v>1.1080000000000001</c:v>
                </c:pt>
                <c:pt idx="77">
                  <c:v>1.077</c:v>
                </c:pt>
                <c:pt idx="78">
                  <c:v>1.077</c:v>
                </c:pt>
                <c:pt idx="79">
                  <c:v>1.077</c:v>
                </c:pt>
                <c:pt idx="80">
                  <c:v>1.077</c:v>
                </c:pt>
                <c:pt idx="81">
                  <c:v>0.89100000000000001</c:v>
                </c:pt>
                <c:pt idx="82">
                  <c:v>0.89100000000000001</c:v>
                </c:pt>
                <c:pt idx="83">
                  <c:v>0.89100000000000001</c:v>
                </c:pt>
                <c:pt idx="84">
                  <c:v>0.3</c:v>
                </c:pt>
                <c:pt idx="85">
                  <c:v>0.3</c:v>
                </c:pt>
                <c:pt idx="86">
                  <c:v>0.3</c:v>
                </c:pt>
                <c:pt idx="87">
                  <c:v>0.3</c:v>
                </c:pt>
                <c:pt idx="88">
                  <c:v>0.3</c:v>
                </c:pt>
                <c:pt idx="89">
                  <c:v>0.3</c:v>
                </c:pt>
                <c:pt idx="90">
                  <c:v>0.3</c:v>
                </c:pt>
              </c:numCache>
            </c:numRef>
          </c:val>
          <c:smooth val="1"/>
          <c:extLst>
            <c:ext xmlns:c16="http://schemas.microsoft.com/office/drawing/2014/chart" uri="{C3380CC4-5D6E-409C-BE32-E72D297353CC}">
              <c16:uniqueId val="{00000000-9AD6-4F20-96A7-2D0806A4F731}"/>
            </c:ext>
          </c:extLst>
        </c:ser>
        <c:dLbls>
          <c:showLegendKey val="0"/>
          <c:showVal val="0"/>
          <c:showCatName val="0"/>
          <c:showSerName val="0"/>
          <c:showPercent val="0"/>
          <c:showBubbleSize val="0"/>
        </c:dLbls>
        <c:hiLowLines>
          <c:spPr>
            <a:ln w="0">
              <a:noFill/>
            </a:ln>
          </c:spPr>
        </c:hiLowLines>
        <c:smooth val="0"/>
        <c:axId val="62655477"/>
        <c:axId val="72021435"/>
      </c:lineChart>
      <c:catAx>
        <c:axId val="62655477"/>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Seconds from 12:32:00</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2021435"/>
        <c:crosses val="autoZero"/>
        <c:auto val="1"/>
        <c:lblAlgn val="ctr"/>
        <c:lblOffset val="100"/>
        <c:noMultiLvlLbl val="0"/>
      </c:catAx>
      <c:valAx>
        <c:axId val="7202143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Inertia H (s)</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265547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Rate of Change of Frequency (RoCoF) — Detection Signal for PINN</a:t>
            </a:r>
          </a:p>
        </c:rich>
      </c:tx>
      <c:overlay val="0"/>
      <c:spPr>
        <a:noFill/>
        <a:ln w="0">
          <a:noFill/>
        </a:ln>
      </c:spPr>
    </c:title>
    <c:autoTitleDeleted val="0"/>
    <c:plotArea>
      <c:layout/>
      <c:lineChart>
        <c:grouping val="standard"/>
        <c:varyColors val="0"/>
        <c:ser>
          <c:idx val="0"/>
          <c:order val="0"/>
          <c:tx>
            <c:strRef>
              <c:f>Second_by_Second!$G$5</c:f>
              <c:strCache>
                <c:ptCount val="1"/>
                <c:pt idx="0">
                  <c:v>df/dt (Hz/s)</c:v>
                </c:pt>
              </c:strCache>
            </c:strRef>
          </c:tx>
          <c:spPr>
            <a:ln w="47520">
              <a:solidFill>
                <a:srgbClr val="BE4B48"/>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Second_by_Second!$B$6:$B$96</c:f>
              <c:numCache>
                <c:formatCode>General</c:formatCode>
                <c:ptCount val="9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numCache>
            </c:numRef>
          </c:cat>
          <c:val>
            <c:numRef>
              <c:f>Second_by_Second!$G$6:$G$96</c:f>
              <c:numCache>
                <c:formatCode>0.0000</c:formatCode>
                <c:ptCount val="91"/>
                <c:pt idx="0">
                  <c:v>2.4101665205959684</c:v>
                </c:pt>
                <c:pt idx="1">
                  <c:v>2.4101665205959684</c:v>
                </c:pt>
                <c:pt idx="2">
                  <c:v>2.4101665205959684</c:v>
                </c:pt>
                <c:pt idx="3">
                  <c:v>2.4101665205959684</c:v>
                </c:pt>
                <c:pt idx="4">
                  <c:v>2.4101665205959684</c:v>
                </c:pt>
                <c:pt idx="5">
                  <c:v>2.4101665205959684</c:v>
                </c:pt>
                <c:pt idx="6">
                  <c:v>2.4101665205959684</c:v>
                </c:pt>
                <c:pt idx="7">
                  <c:v>2.4101665205959684</c:v>
                </c:pt>
                <c:pt idx="8">
                  <c:v>2.4101665205959684</c:v>
                </c:pt>
                <c:pt idx="9">
                  <c:v>2.4101665205959684</c:v>
                </c:pt>
                <c:pt idx="10">
                  <c:v>2.4101665205959684</c:v>
                </c:pt>
                <c:pt idx="11">
                  <c:v>2.4101665205959684</c:v>
                </c:pt>
                <c:pt idx="12">
                  <c:v>2.4101665205959684</c:v>
                </c:pt>
                <c:pt idx="13">
                  <c:v>2.4101665205959684</c:v>
                </c:pt>
                <c:pt idx="14">
                  <c:v>2.4101665205959684</c:v>
                </c:pt>
                <c:pt idx="15">
                  <c:v>2.4101665205959684</c:v>
                </c:pt>
                <c:pt idx="16">
                  <c:v>2.4101665205959684</c:v>
                </c:pt>
                <c:pt idx="17">
                  <c:v>2.4101665205959684</c:v>
                </c:pt>
                <c:pt idx="18">
                  <c:v>2.4101665205959684</c:v>
                </c:pt>
                <c:pt idx="19">
                  <c:v>2.4101665205959684</c:v>
                </c:pt>
                <c:pt idx="20">
                  <c:v>2.4101665205959684</c:v>
                </c:pt>
                <c:pt idx="21">
                  <c:v>2.4101665205959684</c:v>
                </c:pt>
                <c:pt idx="22">
                  <c:v>2.4101665205959684</c:v>
                </c:pt>
                <c:pt idx="23">
                  <c:v>2.4101665205959684</c:v>
                </c:pt>
                <c:pt idx="24">
                  <c:v>2.4101665205959684</c:v>
                </c:pt>
                <c:pt idx="25">
                  <c:v>2.4101665205959684</c:v>
                </c:pt>
                <c:pt idx="26">
                  <c:v>2.4101665205959684</c:v>
                </c:pt>
                <c:pt idx="27">
                  <c:v>2.4101665205959684</c:v>
                </c:pt>
                <c:pt idx="28">
                  <c:v>2.4101665205959684</c:v>
                </c:pt>
                <c:pt idx="29">
                  <c:v>2.4101665205959684</c:v>
                </c:pt>
                <c:pt idx="30">
                  <c:v>2.4101665205959684</c:v>
                </c:pt>
                <c:pt idx="31">
                  <c:v>2.4101665205959684</c:v>
                </c:pt>
                <c:pt idx="32">
                  <c:v>2.4101665205959684</c:v>
                </c:pt>
                <c:pt idx="33">
                  <c:v>2.4101665205959684</c:v>
                </c:pt>
                <c:pt idx="34">
                  <c:v>2.4101665205959684</c:v>
                </c:pt>
                <c:pt idx="35">
                  <c:v>2.4101665205959684</c:v>
                </c:pt>
                <c:pt idx="36">
                  <c:v>2.4101665205959684</c:v>
                </c:pt>
                <c:pt idx="37">
                  <c:v>2.4101665205959684</c:v>
                </c:pt>
                <c:pt idx="38">
                  <c:v>2.4101665205959684</c:v>
                </c:pt>
                <c:pt idx="39">
                  <c:v>2.4101665205959684</c:v>
                </c:pt>
                <c:pt idx="40">
                  <c:v>2.4101665205959684</c:v>
                </c:pt>
                <c:pt idx="41">
                  <c:v>2.4101665205959684</c:v>
                </c:pt>
                <c:pt idx="42">
                  <c:v>2.4101665205959684</c:v>
                </c:pt>
                <c:pt idx="43">
                  <c:v>2.4101665205959684</c:v>
                </c:pt>
                <c:pt idx="44">
                  <c:v>2.4101665205959684</c:v>
                </c:pt>
                <c:pt idx="45">
                  <c:v>2.4101665205959684</c:v>
                </c:pt>
                <c:pt idx="46">
                  <c:v>2.4101665205959684</c:v>
                </c:pt>
                <c:pt idx="47">
                  <c:v>2.4101665205959684</c:v>
                </c:pt>
                <c:pt idx="48">
                  <c:v>2.4101665205959684</c:v>
                </c:pt>
                <c:pt idx="49">
                  <c:v>2.4101665205959684</c:v>
                </c:pt>
                <c:pt idx="50">
                  <c:v>2.4101665205959684</c:v>
                </c:pt>
                <c:pt idx="51">
                  <c:v>2.4101665205959684</c:v>
                </c:pt>
                <c:pt idx="52">
                  <c:v>2.4101665205959684</c:v>
                </c:pt>
                <c:pt idx="53">
                  <c:v>2.4101665205959684</c:v>
                </c:pt>
                <c:pt idx="54">
                  <c:v>2.4101665205959684</c:v>
                </c:pt>
                <c:pt idx="55">
                  <c:v>2.4101665205959684</c:v>
                </c:pt>
                <c:pt idx="56">
                  <c:v>2.4101665205959684</c:v>
                </c:pt>
                <c:pt idx="57">
                  <c:v>2.1175950486295312</c:v>
                </c:pt>
                <c:pt idx="58">
                  <c:v>2.1175950486295312</c:v>
                </c:pt>
                <c:pt idx="59">
                  <c:v>2.1175950486295312</c:v>
                </c:pt>
                <c:pt idx="60">
                  <c:v>2.1175950486295312</c:v>
                </c:pt>
                <c:pt idx="61">
                  <c:v>2.1175950486295312</c:v>
                </c:pt>
                <c:pt idx="62">
                  <c:v>2.1175950486295312</c:v>
                </c:pt>
                <c:pt idx="63">
                  <c:v>2.1175950486295312</c:v>
                </c:pt>
                <c:pt idx="64">
                  <c:v>2.1175950486295312</c:v>
                </c:pt>
                <c:pt idx="65">
                  <c:v>2.1175950486295312</c:v>
                </c:pt>
                <c:pt idx="66">
                  <c:v>2.1175950486295312</c:v>
                </c:pt>
                <c:pt idx="67">
                  <c:v>2.1175950486295312</c:v>
                </c:pt>
                <c:pt idx="68">
                  <c:v>2.1175950486295312</c:v>
                </c:pt>
                <c:pt idx="69">
                  <c:v>2.1175950486295312</c:v>
                </c:pt>
                <c:pt idx="70">
                  <c:v>2.1175950486295312</c:v>
                </c:pt>
                <c:pt idx="71">
                  <c:v>2.1175950486295312</c:v>
                </c:pt>
                <c:pt idx="72">
                  <c:v>2.1175950486295312</c:v>
                </c:pt>
                <c:pt idx="73">
                  <c:v>2.1175950486295312</c:v>
                </c:pt>
                <c:pt idx="74">
                  <c:v>2.1175950486295312</c:v>
                </c:pt>
                <c:pt idx="75">
                  <c:v>2.1175950486295312</c:v>
                </c:pt>
                <c:pt idx="76">
                  <c:v>1.4395306859205774</c:v>
                </c:pt>
                <c:pt idx="77">
                  <c:v>0.51067780872794799</c:v>
                </c:pt>
                <c:pt idx="78">
                  <c:v>1.903435468895079</c:v>
                </c:pt>
                <c:pt idx="79">
                  <c:v>1.903435468895079</c:v>
                </c:pt>
                <c:pt idx="80">
                  <c:v>4.2246982358402967</c:v>
                </c:pt>
                <c:pt idx="81">
                  <c:v>4.2648709315375983</c:v>
                </c:pt>
                <c:pt idx="82">
                  <c:v>8.7542087542087543</c:v>
                </c:pt>
                <c:pt idx="83">
                  <c:v>8.7542087542087543</c:v>
                </c:pt>
                <c:pt idx="84">
                  <c:v>-3.3333333333333335</c:v>
                </c:pt>
                <c:pt idx="85">
                  <c:v>-3.3333333333333335</c:v>
                </c:pt>
                <c:pt idx="86">
                  <c:v>-3.3333333333333335</c:v>
                </c:pt>
                <c:pt idx="87">
                  <c:v>-3.3333333333333335</c:v>
                </c:pt>
                <c:pt idx="88">
                  <c:v>-3.3333333333333335</c:v>
                </c:pt>
                <c:pt idx="89">
                  <c:v>-3.3333333333333335</c:v>
                </c:pt>
                <c:pt idx="90">
                  <c:v>-3.3333333333333335</c:v>
                </c:pt>
              </c:numCache>
            </c:numRef>
          </c:val>
          <c:smooth val="1"/>
          <c:extLst>
            <c:ext xmlns:c16="http://schemas.microsoft.com/office/drawing/2014/chart" uri="{C3380CC4-5D6E-409C-BE32-E72D297353CC}">
              <c16:uniqueId val="{00000000-1779-40DC-B26E-CD143498127F}"/>
            </c:ext>
          </c:extLst>
        </c:ser>
        <c:dLbls>
          <c:showLegendKey val="0"/>
          <c:showVal val="0"/>
          <c:showCatName val="0"/>
          <c:showSerName val="0"/>
          <c:showPercent val="0"/>
          <c:showBubbleSize val="0"/>
        </c:dLbls>
        <c:hiLowLines>
          <c:spPr>
            <a:ln w="0">
              <a:noFill/>
            </a:ln>
          </c:spPr>
        </c:hiLowLines>
        <c:smooth val="0"/>
        <c:axId val="46891066"/>
        <c:axId val="85864345"/>
      </c:lineChart>
      <c:catAx>
        <c:axId val="46891066"/>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Seconds from 12:32:00</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5864345"/>
        <c:crosses val="autoZero"/>
        <c:auto val="1"/>
        <c:lblAlgn val="ctr"/>
        <c:lblOffset val="100"/>
        <c:noMultiLvlLbl val="0"/>
      </c:catAx>
      <c:valAx>
        <c:axId val="8586434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df/dt (Hz/s)</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689106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How Inertia Dampens Frequency Drop — Spain's H≈1.46 highlighted</a:t>
            </a:r>
          </a:p>
        </c:rich>
      </c:tx>
      <c:overlay val="0"/>
      <c:spPr>
        <a:noFill/>
        <a:ln w="0">
          <a:noFill/>
        </a:ln>
      </c:spPr>
    </c:title>
    <c:autoTitleDeleted val="0"/>
    <c:plotArea>
      <c:layout/>
      <c:lineChart>
        <c:grouping val="standard"/>
        <c:varyColors val="0"/>
        <c:ser>
          <c:idx val="0"/>
          <c:order val="0"/>
          <c:tx>
            <c:strRef>
              <c:f>Swing_Equation!$B$46</c:f>
              <c:strCache>
                <c:ptCount val="1"/>
                <c:pt idx="0">
                  <c:v>df/dt for ΔP = -355 MW</c:v>
                </c:pt>
              </c:strCache>
            </c:strRef>
          </c:tx>
          <c:spPr>
            <a:ln w="47520">
              <a:solidFill>
                <a:srgbClr val="9D3E3B"/>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Swing_Equation!$A$47:$A$55</c:f>
              <c:numCache>
                <c:formatCode>0.00</c:formatCode>
                <c:ptCount val="9"/>
                <c:pt idx="0">
                  <c:v>0.5</c:v>
                </c:pt>
                <c:pt idx="1">
                  <c:v>1</c:v>
                </c:pt>
                <c:pt idx="2">
                  <c:v>1.46</c:v>
                </c:pt>
                <c:pt idx="3">
                  <c:v>2</c:v>
                </c:pt>
                <c:pt idx="4">
                  <c:v>3</c:v>
                </c:pt>
                <c:pt idx="5">
                  <c:v>4</c:v>
                </c:pt>
                <c:pt idx="6">
                  <c:v>5</c:v>
                </c:pt>
                <c:pt idx="7">
                  <c:v>6</c:v>
                </c:pt>
                <c:pt idx="8">
                  <c:v>8</c:v>
                </c:pt>
              </c:numCache>
            </c:numRef>
          </c:cat>
          <c:val>
            <c:numRef>
              <c:f>Swing_Equation!$B$47:$B$55</c:f>
              <c:numCache>
                <c:formatCode>0.0000</c:formatCode>
                <c:ptCount val="9"/>
                <c:pt idx="0">
                  <c:v>-0.5546875</c:v>
                </c:pt>
                <c:pt idx="1">
                  <c:v>-0.27734375</c:v>
                </c:pt>
                <c:pt idx="2">
                  <c:v>-0.18996147260273974</c:v>
                </c:pt>
                <c:pt idx="3">
                  <c:v>-0.138671875</c:v>
                </c:pt>
                <c:pt idx="4">
                  <c:v>-9.2447916666666671E-2</c:v>
                </c:pt>
                <c:pt idx="5">
                  <c:v>-6.93359375E-2</c:v>
                </c:pt>
                <c:pt idx="6">
                  <c:v>-5.5468749999999997E-2</c:v>
                </c:pt>
                <c:pt idx="7">
                  <c:v>-4.6223958333333336E-2</c:v>
                </c:pt>
                <c:pt idx="8">
                  <c:v>-3.466796875E-2</c:v>
                </c:pt>
              </c:numCache>
            </c:numRef>
          </c:val>
          <c:smooth val="1"/>
          <c:extLst>
            <c:ext xmlns:c16="http://schemas.microsoft.com/office/drawing/2014/chart" uri="{C3380CC4-5D6E-409C-BE32-E72D297353CC}">
              <c16:uniqueId val="{00000000-730A-4942-A94C-0341CCEE042B}"/>
            </c:ext>
          </c:extLst>
        </c:ser>
        <c:ser>
          <c:idx val="1"/>
          <c:order val="1"/>
          <c:tx>
            <c:strRef>
              <c:f>Swing_Equation!$C$46</c:f>
              <c:strCache>
                <c:ptCount val="1"/>
                <c:pt idx="0">
                  <c:v>df/dt for ΔP = -2200 MW</c:v>
                </c:pt>
              </c:strCache>
            </c:strRef>
          </c:tx>
          <c:spPr>
            <a:ln w="47520">
              <a:solidFill>
                <a:srgbClr val="BE4B48"/>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Swing_Equation!$A$47:$A$55</c:f>
              <c:numCache>
                <c:formatCode>0.00</c:formatCode>
                <c:ptCount val="9"/>
                <c:pt idx="0">
                  <c:v>0.5</c:v>
                </c:pt>
                <c:pt idx="1">
                  <c:v>1</c:v>
                </c:pt>
                <c:pt idx="2">
                  <c:v>1.46</c:v>
                </c:pt>
                <c:pt idx="3">
                  <c:v>2</c:v>
                </c:pt>
                <c:pt idx="4">
                  <c:v>3</c:v>
                </c:pt>
                <c:pt idx="5">
                  <c:v>4</c:v>
                </c:pt>
                <c:pt idx="6">
                  <c:v>5</c:v>
                </c:pt>
                <c:pt idx="7">
                  <c:v>6</c:v>
                </c:pt>
                <c:pt idx="8">
                  <c:v>8</c:v>
                </c:pt>
              </c:numCache>
            </c:numRef>
          </c:cat>
          <c:val>
            <c:numRef>
              <c:f>Swing_Equation!$C$47:$C$55</c:f>
              <c:numCache>
                <c:formatCode>0.0000</c:formatCode>
                <c:ptCount val="9"/>
                <c:pt idx="0">
                  <c:v>-3.4375</c:v>
                </c:pt>
                <c:pt idx="1">
                  <c:v>-1.71875</c:v>
                </c:pt>
                <c:pt idx="2">
                  <c:v>-1.1772260273972603</c:v>
                </c:pt>
                <c:pt idx="3">
                  <c:v>-0.859375</c:v>
                </c:pt>
                <c:pt idx="4">
                  <c:v>-0.57291666666666663</c:v>
                </c:pt>
                <c:pt idx="5">
                  <c:v>-0.4296875</c:v>
                </c:pt>
                <c:pt idx="6">
                  <c:v>-0.34375</c:v>
                </c:pt>
                <c:pt idx="7">
                  <c:v>-0.28645833333333331</c:v>
                </c:pt>
                <c:pt idx="8">
                  <c:v>-0.21484375</c:v>
                </c:pt>
              </c:numCache>
            </c:numRef>
          </c:val>
          <c:smooth val="1"/>
          <c:extLst>
            <c:ext xmlns:c16="http://schemas.microsoft.com/office/drawing/2014/chart" uri="{C3380CC4-5D6E-409C-BE32-E72D297353CC}">
              <c16:uniqueId val="{00000001-730A-4942-A94C-0341CCEE042B}"/>
            </c:ext>
          </c:extLst>
        </c:ser>
        <c:ser>
          <c:idx val="2"/>
          <c:order val="2"/>
          <c:tx>
            <c:strRef>
              <c:f>Swing_Equation!$D$46</c:f>
              <c:strCache>
                <c:ptCount val="1"/>
                <c:pt idx="0">
                  <c:v>df/dt for ΔP = -15000 MW</c:v>
                </c:pt>
              </c:strCache>
            </c:strRef>
          </c:tx>
          <c:spPr>
            <a:ln w="47520">
              <a:solidFill>
                <a:srgbClr val="D4A5A4"/>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Swing_Equation!$A$47:$A$55</c:f>
              <c:numCache>
                <c:formatCode>0.00</c:formatCode>
                <c:ptCount val="9"/>
                <c:pt idx="0">
                  <c:v>0.5</c:v>
                </c:pt>
                <c:pt idx="1">
                  <c:v>1</c:v>
                </c:pt>
                <c:pt idx="2">
                  <c:v>1.46</c:v>
                </c:pt>
                <c:pt idx="3">
                  <c:v>2</c:v>
                </c:pt>
                <c:pt idx="4">
                  <c:v>3</c:v>
                </c:pt>
                <c:pt idx="5">
                  <c:v>4</c:v>
                </c:pt>
                <c:pt idx="6">
                  <c:v>5</c:v>
                </c:pt>
                <c:pt idx="7">
                  <c:v>6</c:v>
                </c:pt>
                <c:pt idx="8">
                  <c:v>8</c:v>
                </c:pt>
              </c:numCache>
            </c:numRef>
          </c:cat>
          <c:val>
            <c:numRef>
              <c:f>Swing_Equation!$D$47:$D$55</c:f>
              <c:numCache>
                <c:formatCode>0.0000</c:formatCode>
                <c:ptCount val="9"/>
                <c:pt idx="0">
                  <c:v>-23.4375</c:v>
                </c:pt>
                <c:pt idx="1">
                  <c:v>-11.71875</c:v>
                </c:pt>
                <c:pt idx="2">
                  <c:v>-8.0265410958904102</c:v>
                </c:pt>
                <c:pt idx="3">
                  <c:v>-5.859375</c:v>
                </c:pt>
                <c:pt idx="4">
                  <c:v>-3.90625</c:v>
                </c:pt>
                <c:pt idx="5">
                  <c:v>-2.9296875</c:v>
                </c:pt>
                <c:pt idx="6">
                  <c:v>-2.34375</c:v>
                </c:pt>
                <c:pt idx="7">
                  <c:v>-1.953125</c:v>
                </c:pt>
                <c:pt idx="8">
                  <c:v>-1.46484375</c:v>
                </c:pt>
              </c:numCache>
            </c:numRef>
          </c:val>
          <c:smooth val="1"/>
          <c:extLst>
            <c:ext xmlns:c16="http://schemas.microsoft.com/office/drawing/2014/chart" uri="{C3380CC4-5D6E-409C-BE32-E72D297353CC}">
              <c16:uniqueId val="{00000002-730A-4942-A94C-0341CCEE042B}"/>
            </c:ext>
          </c:extLst>
        </c:ser>
        <c:dLbls>
          <c:showLegendKey val="0"/>
          <c:showVal val="0"/>
          <c:showCatName val="0"/>
          <c:showSerName val="0"/>
          <c:showPercent val="0"/>
          <c:showBubbleSize val="0"/>
        </c:dLbls>
        <c:hiLowLines>
          <c:spPr>
            <a:ln w="0">
              <a:noFill/>
            </a:ln>
          </c:spPr>
        </c:hiLowLines>
        <c:smooth val="0"/>
        <c:axId val="45320550"/>
        <c:axId val="59034238"/>
      </c:lineChart>
      <c:catAx>
        <c:axId val="45320550"/>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System Inertia H (seconds)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9034238"/>
        <c:crosses val="autoZero"/>
        <c:auto val="1"/>
        <c:lblAlgn val="ctr"/>
        <c:lblOffset val="100"/>
        <c:noMultiLvlLbl val="0"/>
      </c:catAx>
      <c:valAx>
        <c:axId val="5903423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df/dt (Hz/s)</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532055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3</xdr:row>
      <xdr:rowOff>160920</xdr:rowOff>
    </xdr:from>
    <xdr:to>
      <xdr:col>23</xdr:col>
      <xdr:colOff>473040</xdr:colOff>
      <xdr:row>21</xdr:row>
      <xdr:rowOff>181080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25</xdr:row>
      <xdr:rowOff>10080</xdr:rowOff>
    </xdr:from>
    <xdr:to>
      <xdr:col>23</xdr:col>
      <xdr:colOff>473040</xdr:colOff>
      <xdr:row>43</xdr:row>
      <xdr:rowOff>180720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47</xdr:row>
      <xdr:rowOff>10080</xdr:rowOff>
    </xdr:from>
    <xdr:to>
      <xdr:col>23</xdr:col>
      <xdr:colOff>473040</xdr:colOff>
      <xdr:row>62</xdr:row>
      <xdr:rowOff>32400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2</xdr:row>
      <xdr:rowOff>160920</xdr:rowOff>
    </xdr:from>
    <xdr:to>
      <xdr:col>19</xdr:col>
      <xdr:colOff>364320</xdr:colOff>
      <xdr:row>19</xdr:row>
      <xdr:rowOff>11520</xdr:rowOff>
    </xdr:to>
    <xdr:graphicFrame macro="">
      <xdr:nvGraphicFramePr>
        <xdr:cNvPr id="3" name="Chart 1">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22</xdr:row>
      <xdr:rowOff>10080</xdr:rowOff>
    </xdr:from>
    <xdr:to>
      <xdr:col>19</xdr:col>
      <xdr:colOff>364320</xdr:colOff>
      <xdr:row>39</xdr:row>
      <xdr:rowOff>11520</xdr:rowOff>
    </xdr:to>
    <xdr:graphicFrame macro="">
      <xdr:nvGraphicFramePr>
        <xdr:cNvPr id="4" name="Chart 2">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42</xdr:row>
      <xdr:rowOff>10080</xdr:rowOff>
    </xdr:from>
    <xdr:to>
      <xdr:col>19</xdr:col>
      <xdr:colOff>364320</xdr:colOff>
      <xdr:row>59</xdr:row>
      <xdr:rowOff>11160</xdr:rowOff>
    </xdr:to>
    <xdr:graphicFrame macro="">
      <xdr:nvGraphicFramePr>
        <xdr:cNvPr id="5" name="Chart 3">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3</xdr:row>
      <xdr:rowOff>160920</xdr:rowOff>
    </xdr:from>
    <xdr:to>
      <xdr:col>22</xdr:col>
      <xdr:colOff>581760</xdr:colOff>
      <xdr:row>23</xdr:row>
      <xdr:rowOff>159840</xdr:rowOff>
    </xdr:to>
    <xdr:graphicFrame macro="">
      <xdr:nvGraphicFramePr>
        <xdr:cNvPr id="6" name="Chart 1">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26</xdr:row>
      <xdr:rowOff>10440</xdr:rowOff>
    </xdr:from>
    <xdr:to>
      <xdr:col>22</xdr:col>
      <xdr:colOff>581760</xdr:colOff>
      <xdr:row>46</xdr:row>
      <xdr:rowOff>159840</xdr:rowOff>
    </xdr:to>
    <xdr:graphicFrame macro="">
      <xdr:nvGraphicFramePr>
        <xdr:cNvPr id="7" name="Chart 2">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49</xdr:row>
      <xdr:rowOff>10080</xdr:rowOff>
    </xdr:from>
    <xdr:to>
      <xdr:col>22</xdr:col>
      <xdr:colOff>581760</xdr:colOff>
      <xdr:row>69</xdr:row>
      <xdr:rowOff>159840</xdr:rowOff>
    </xdr:to>
    <xdr:graphicFrame macro="">
      <xdr:nvGraphicFramePr>
        <xdr:cNvPr id="8" name="Chart 3">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72</xdr:row>
      <xdr:rowOff>10080</xdr:rowOff>
    </xdr:from>
    <xdr:to>
      <xdr:col>22</xdr:col>
      <xdr:colOff>581760</xdr:colOff>
      <xdr:row>92</xdr:row>
      <xdr:rowOff>159840</xdr:rowOff>
    </xdr:to>
    <xdr:graphicFrame macro="">
      <xdr:nvGraphicFramePr>
        <xdr:cNvPr id="9" name="Chart 4">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3</xdr:row>
      <xdr:rowOff>160920</xdr:rowOff>
    </xdr:from>
    <xdr:to>
      <xdr:col>16</xdr:col>
      <xdr:colOff>473040</xdr:colOff>
      <xdr:row>22</xdr:row>
      <xdr:rowOff>140760</xdr:rowOff>
    </xdr:to>
    <xdr:graphicFrame macro="">
      <xdr:nvGraphicFramePr>
        <xdr:cNvPr id="10" name="Chart 1">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opLeftCell="A9" zoomScaleNormal="100" workbookViewId="0"/>
  </sheetViews>
  <sheetFormatPr baseColWidth="10" defaultColWidth="8.6640625" defaultRowHeight="14.4" x14ac:dyDescent="0.3"/>
  <cols>
    <col min="1" max="1" width="38" customWidth="1"/>
    <col min="2" max="2" width="90" customWidth="1"/>
  </cols>
  <sheetData>
    <row r="1" spans="1:2" ht="22.8" x14ac:dyDescent="0.4">
      <c r="A1" s="3" t="s">
        <v>0</v>
      </c>
    </row>
    <row r="2" spans="1:2" x14ac:dyDescent="0.3">
      <c r="A2" s="4" t="s">
        <v>1</v>
      </c>
    </row>
    <row r="5" spans="1:2" ht="26.4" x14ac:dyDescent="0.3">
      <c r="A5" s="5" t="s">
        <v>2</v>
      </c>
      <c r="B5" s="6" t="s">
        <v>3</v>
      </c>
    </row>
    <row r="7" spans="1:2" ht="39.6" x14ac:dyDescent="0.3">
      <c r="A7" s="5" t="s">
        <v>4</v>
      </c>
      <c r="B7" s="6" t="s">
        <v>5</v>
      </c>
    </row>
    <row r="9" spans="1:2" x14ac:dyDescent="0.3">
      <c r="A9" s="7" t="s">
        <v>6</v>
      </c>
    </row>
    <row r="10" spans="1:2" x14ac:dyDescent="0.3">
      <c r="A10" s="5" t="s">
        <v>7</v>
      </c>
      <c r="B10" s="6" t="s">
        <v>8</v>
      </c>
    </row>
    <row r="11" spans="1:2" x14ac:dyDescent="0.3">
      <c r="A11" s="5" t="s">
        <v>9</v>
      </c>
      <c r="B11" s="6" t="s">
        <v>10</v>
      </c>
    </row>
    <row r="12" spans="1:2" x14ac:dyDescent="0.3">
      <c r="A12" s="5" t="s">
        <v>11</v>
      </c>
      <c r="B12" s="6" t="s">
        <v>12</v>
      </c>
    </row>
    <row r="13" spans="1:2" x14ac:dyDescent="0.3">
      <c r="A13" s="5" t="s">
        <v>13</v>
      </c>
      <c r="B13" s="6" t="s">
        <v>14</v>
      </c>
    </row>
    <row r="14" spans="1:2" x14ac:dyDescent="0.3">
      <c r="A14" s="5" t="s">
        <v>15</v>
      </c>
      <c r="B14" s="6" t="s">
        <v>16</v>
      </c>
    </row>
    <row r="15" spans="1:2" x14ac:dyDescent="0.3">
      <c r="A15" s="5" t="s">
        <v>17</v>
      </c>
      <c r="B15" s="6" t="s">
        <v>18</v>
      </c>
    </row>
    <row r="16" spans="1:2" x14ac:dyDescent="0.3">
      <c r="A16" s="5" t="s">
        <v>19</v>
      </c>
      <c r="B16" s="6" t="s">
        <v>20</v>
      </c>
    </row>
    <row r="18" spans="1:2" x14ac:dyDescent="0.3">
      <c r="A18" s="7" t="s">
        <v>21</v>
      </c>
    </row>
    <row r="19" spans="1:2" x14ac:dyDescent="0.3">
      <c r="A19" s="5" t="s">
        <v>22</v>
      </c>
      <c r="B19" s="6" t="s">
        <v>23</v>
      </c>
    </row>
    <row r="20" spans="1:2" x14ac:dyDescent="0.3">
      <c r="A20" s="5" t="s">
        <v>24</v>
      </c>
      <c r="B20" s="6" t="s">
        <v>25</v>
      </c>
    </row>
    <row r="21" spans="1:2" x14ac:dyDescent="0.3">
      <c r="A21" s="5" t="s">
        <v>26</v>
      </c>
      <c r="B21" s="6" t="s">
        <v>27</v>
      </c>
    </row>
    <row r="22" spans="1:2" x14ac:dyDescent="0.3">
      <c r="A22" s="5" t="s">
        <v>28</v>
      </c>
      <c r="B22" s="6" t="s">
        <v>29</v>
      </c>
    </row>
    <row r="23" spans="1:2" x14ac:dyDescent="0.3">
      <c r="A23" s="5" t="s">
        <v>30</v>
      </c>
      <c r="B23" s="6" t="s">
        <v>31</v>
      </c>
    </row>
    <row r="24" spans="1:2" x14ac:dyDescent="0.3">
      <c r="A24" s="5" t="s">
        <v>32</v>
      </c>
      <c r="B24" s="6" t="s">
        <v>33</v>
      </c>
    </row>
    <row r="25" spans="1:2" x14ac:dyDescent="0.3">
      <c r="A25" s="5" t="s">
        <v>34</v>
      </c>
      <c r="B25" s="6" t="s">
        <v>35</v>
      </c>
    </row>
    <row r="26" spans="1:2" x14ac:dyDescent="0.3">
      <c r="A26" s="5" t="s">
        <v>36</v>
      </c>
      <c r="B26" s="6" t="s">
        <v>37</v>
      </c>
    </row>
    <row r="27" spans="1:2" x14ac:dyDescent="0.3">
      <c r="A27" s="5" t="s">
        <v>38</v>
      </c>
      <c r="B27" s="6" t="s">
        <v>39</v>
      </c>
    </row>
    <row r="28" spans="1:2" x14ac:dyDescent="0.3">
      <c r="A28" s="5" t="s">
        <v>40</v>
      </c>
      <c r="B28" s="6" t="s">
        <v>41</v>
      </c>
    </row>
    <row r="30" spans="1:2" x14ac:dyDescent="0.3">
      <c r="A30" s="7" t="s">
        <v>42</v>
      </c>
    </row>
    <row r="31" spans="1:2" x14ac:dyDescent="0.3">
      <c r="A31" s="5" t="s">
        <v>43</v>
      </c>
      <c r="B31" s="6" t="s">
        <v>44</v>
      </c>
    </row>
    <row r="32" spans="1:2" x14ac:dyDescent="0.3">
      <c r="A32" s="5" t="s">
        <v>45</v>
      </c>
      <c r="B32" s="6" t="s">
        <v>46</v>
      </c>
    </row>
    <row r="33" spans="1:2" ht="26.4" x14ac:dyDescent="0.3">
      <c r="A33" s="5" t="s">
        <v>47</v>
      </c>
      <c r="B33" s="6" t="s">
        <v>48</v>
      </c>
    </row>
    <row r="34" spans="1:2" x14ac:dyDescent="0.3">
      <c r="A34" s="5" t="s">
        <v>49</v>
      </c>
      <c r="B34" s="6" t="s">
        <v>50</v>
      </c>
    </row>
  </sheetData>
  <pageMargins left="0.75" right="0.75" top="1" bottom="1" header="0.511811023622047" footer="0.511811023622047"/>
  <pageSetup paperSize="9" orientation="portrait" horizontalDpi="300" verticalDpi="300"/>
  <headerFooter>
    <oddFooter>&amp;C_x000D_&amp;1#&amp;"Arial"&amp;7&amp;K7f7f7f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4"/>
  <sheetViews>
    <sheetView zoomScaleNormal="100" workbookViewId="0">
      <selection activeCell="C19" sqref="C19"/>
    </sheetView>
  </sheetViews>
  <sheetFormatPr baseColWidth="10" defaultColWidth="8.6640625" defaultRowHeight="14.4" x14ac:dyDescent="0.3"/>
  <cols>
    <col min="1" max="2" width="16" customWidth="1"/>
    <col min="3" max="4" width="50" customWidth="1"/>
    <col min="5" max="5" width="28" customWidth="1"/>
  </cols>
  <sheetData>
    <row r="1" spans="1:5" ht="17.399999999999999" x14ac:dyDescent="0.3">
      <c r="A1" s="8" t="s">
        <v>51</v>
      </c>
    </row>
    <row r="2" spans="1:5" x14ac:dyDescent="0.3">
      <c r="A2" s="4" t="s">
        <v>52</v>
      </c>
    </row>
    <row r="4" spans="1:5" x14ac:dyDescent="0.3">
      <c r="A4" s="9" t="s">
        <v>53</v>
      </c>
      <c r="B4" s="9" t="s">
        <v>54</v>
      </c>
      <c r="C4" s="9" t="s">
        <v>55</v>
      </c>
      <c r="D4" s="9" t="s">
        <v>56</v>
      </c>
      <c r="E4" s="9" t="s">
        <v>57</v>
      </c>
    </row>
    <row r="5" spans="1:5" x14ac:dyDescent="0.3">
      <c r="A5" s="10" t="s">
        <v>58</v>
      </c>
      <c r="B5" s="10" t="s">
        <v>59</v>
      </c>
      <c r="C5" s="10" t="s">
        <v>60</v>
      </c>
      <c r="D5" s="10" t="s">
        <v>61</v>
      </c>
      <c r="E5" s="10" t="s">
        <v>62</v>
      </c>
    </row>
    <row r="6" spans="1:5" x14ac:dyDescent="0.3">
      <c r="A6" s="10" t="s">
        <v>63</v>
      </c>
      <c r="B6" s="10" t="s">
        <v>64</v>
      </c>
      <c r="C6" s="10" t="s">
        <v>65</v>
      </c>
      <c r="D6" s="10" t="s">
        <v>66</v>
      </c>
      <c r="E6" s="10" t="s">
        <v>62</v>
      </c>
    </row>
    <row r="7" spans="1:5" x14ac:dyDescent="0.3">
      <c r="A7" s="10" t="s">
        <v>67</v>
      </c>
      <c r="B7" s="10" t="s">
        <v>68</v>
      </c>
      <c r="C7" s="10" t="s">
        <v>69</v>
      </c>
      <c r="D7" s="10" t="s">
        <v>70</v>
      </c>
      <c r="E7" s="10" t="s">
        <v>71</v>
      </c>
    </row>
    <row r="8" spans="1:5" x14ac:dyDescent="0.3">
      <c r="A8" s="10" t="s">
        <v>72</v>
      </c>
      <c r="B8" s="10" t="s">
        <v>73</v>
      </c>
      <c r="C8" s="10" t="s">
        <v>74</v>
      </c>
      <c r="D8" s="10" t="s">
        <v>75</v>
      </c>
      <c r="E8" s="10" t="s">
        <v>62</v>
      </c>
    </row>
    <row r="9" spans="1:5" x14ac:dyDescent="0.3">
      <c r="A9" s="10" t="s">
        <v>76</v>
      </c>
      <c r="B9" s="10" t="s">
        <v>77</v>
      </c>
      <c r="C9" s="10" t="s">
        <v>78</v>
      </c>
      <c r="D9" s="10" t="s">
        <v>79</v>
      </c>
      <c r="E9" s="10" t="s">
        <v>80</v>
      </c>
    </row>
    <row r="10" spans="1:5" x14ac:dyDescent="0.3">
      <c r="A10" s="10" t="s">
        <v>81</v>
      </c>
      <c r="B10" s="10" t="s">
        <v>82</v>
      </c>
      <c r="C10" s="10" t="s">
        <v>83</v>
      </c>
      <c r="D10" s="10" t="s">
        <v>84</v>
      </c>
      <c r="E10" s="10" t="s">
        <v>85</v>
      </c>
    </row>
    <row r="11" spans="1:5" x14ac:dyDescent="0.3">
      <c r="A11" s="10" t="s">
        <v>86</v>
      </c>
      <c r="B11" s="10" t="s">
        <v>63</v>
      </c>
      <c r="C11" s="10" t="s">
        <v>87</v>
      </c>
      <c r="D11" s="10" t="s">
        <v>88</v>
      </c>
      <c r="E11" s="10" t="s">
        <v>89</v>
      </c>
    </row>
    <row r="12" spans="1:5" ht="26.4" x14ac:dyDescent="0.3">
      <c r="A12" s="10" t="s">
        <v>86</v>
      </c>
      <c r="B12" s="10" t="s">
        <v>63</v>
      </c>
      <c r="C12" s="10" t="s">
        <v>90</v>
      </c>
      <c r="D12" s="10" t="s">
        <v>91</v>
      </c>
      <c r="E12" s="10" t="s">
        <v>92</v>
      </c>
    </row>
    <row r="13" spans="1:5" x14ac:dyDescent="0.3">
      <c r="A13" s="10" t="s">
        <v>93</v>
      </c>
      <c r="B13" s="10" t="s">
        <v>94</v>
      </c>
      <c r="C13" s="10" t="s">
        <v>95</v>
      </c>
      <c r="D13" s="10" t="s">
        <v>96</v>
      </c>
      <c r="E13" s="10" t="s">
        <v>97</v>
      </c>
    </row>
    <row r="14" spans="1:5" x14ac:dyDescent="0.3">
      <c r="A14" s="10" t="s">
        <v>93</v>
      </c>
      <c r="B14" s="10" t="s">
        <v>94</v>
      </c>
      <c r="C14" s="10" t="s">
        <v>98</v>
      </c>
      <c r="D14" s="10" t="s">
        <v>99</v>
      </c>
      <c r="E14" s="10" t="s">
        <v>100</v>
      </c>
    </row>
    <row r="15" spans="1:5" x14ac:dyDescent="0.3">
      <c r="A15" s="10" t="s">
        <v>101</v>
      </c>
      <c r="B15" s="10" t="s">
        <v>102</v>
      </c>
      <c r="C15" s="10" t="s">
        <v>103</v>
      </c>
      <c r="D15" s="10" t="s">
        <v>104</v>
      </c>
      <c r="E15" s="10" t="s">
        <v>97</v>
      </c>
    </row>
    <row r="16" spans="1:5" x14ac:dyDescent="0.3">
      <c r="A16" s="10" t="s">
        <v>105</v>
      </c>
      <c r="B16" s="10" t="s">
        <v>106</v>
      </c>
      <c r="C16" s="10" t="s">
        <v>107</v>
      </c>
      <c r="D16" s="10" t="s">
        <v>108</v>
      </c>
      <c r="E16" s="10" t="s">
        <v>109</v>
      </c>
    </row>
    <row r="17" spans="1:5" x14ac:dyDescent="0.3">
      <c r="A17" s="10" t="s">
        <v>110</v>
      </c>
      <c r="B17" s="10" t="s">
        <v>111</v>
      </c>
      <c r="C17" s="10" t="s">
        <v>112</v>
      </c>
      <c r="D17" s="10" t="s">
        <v>113</v>
      </c>
      <c r="E17" s="10" t="s">
        <v>62</v>
      </c>
    </row>
    <row r="18" spans="1:5" x14ac:dyDescent="0.3">
      <c r="A18" s="10" t="s">
        <v>114</v>
      </c>
      <c r="B18" s="10" t="s">
        <v>115</v>
      </c>
      <c r="C18" s="10" t="s">
        <v>116</v>
      </c>
      <c r="D18" s="10" t="s">
        <v>117</v>
      </c>
      <c r="E18" s="10" t="s">
        <v>62</v>
      </c>
    </row>
    <row r="19" spans="1:5" x14ac:dyDescent="0.3">
      <c r="A19" s="10" t="s">
        <v>118</v>
      </c>
      <c r="B19" s="10" t="s">
        <v>119</v>
      </c>
      <c r="C19" s="10" t="s">
        <v>120</v>
      </c>
      <c r="D19" s="10" t="s">
        <v>121</v>
      </c>
      <c r="E19" s="10" t="s">
        <v>122</v>
      </c>
    </row>
    <row r="20" spans="1:5" x14ac:dyDescent="0.3">
      <c r="A20" s="10" t="s">
        <v>123</v>
      </c>
      <c r="B20" s="10" t="s">
        <v>124</v>
      </c>
      <c r="C20" s="10" t="s">
        <v>125</v>
      </c>
      <c r="D20" s="10" t="s">
        <v>126</v>
      </c>
      <c r="E20" s="10" t="s">
        <v>127</v>
      </c>
    </row>
    <row r="21" spans="1:5" x14ac:dyDescent="0.3">
      <c r="A21" s="10" t="s">
        <v>128</v>
      </c>
      <c r="B21" s="10" t="s">
        <v>129</v>
      </c>
      <c r="C21" s="10" t="s">
        <v>130</v>
      </c>
      <c r="D21" s="10" t="s">
        <v>131</v>
      </c>
      <c r="E21" s="10" t="s">
        <v>127</v>
      </c>
    </row>
    <row r="22" spans="1:5" x14ac:dyDescent="0.3">
      <c r="A22" s="10" t="s">
        <v>132</v>
      </c>
      <c r="B22" s="10" t="s">
        <v>133</v>
      </c>
      <c r="C22" s="10" t="s">
        <v>134</v>
      </c>
      <c r="D22" s="10"/>
      <c r="E22" s="10" t="s">
        <v>127</v>
      </c>
    </row>
    <row r="23" spans="1:5" x14ac:dyDescent="0.3">
      <c r="A23" s="10" t="s">
        <v>135</v>
      </c>
      <c r="B23" s="10" t="s">
        <v>136</v>
      </c>
      <c r="C23" s="10" t="s">
        <v>137</v>
      </c>
      <c r="D23" s="10"/>
      <c r="E23" s="10" t="s">
        <v>62</v>
      </c>
    </row>
    <row r="24" spans="1:5" x14ac:dyDescent="0.3">
      <c r="A24" s="10" t="s">
        <v>138</v>
      </c>
      <c r="B24" s="10" t="s">
        <v>139</v>
      </c>
      <c r="C24" s="10" t="s">
        <v>140</v>
      </c>
      <c r="D24" s="10" t="s">
        <v>141</v>
      </c>
      <c r="E24" s="10" t="s">
        <v>62</v>
      </c>
    </row>
  </sheetData>
  <pageMargins left="0.75" right="0.75" top="1" bottom="1" header="0.511811023622047" footer="0.511811023622047"/>
  <pageSetup paperSize="9" orientation="portrait" horizontalDpi="300" verticalDpi="300"/>
  <headerFooter>
    <oddFooter>&amp;C_x000D_&amp;1#&amp;"Arial"&amp;7&amp;K7f7f7f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1"/>
  <sheetViews>
    <sheetView zoomScaleNormal="100" workbookViewId="0"/>
  </sheetViews>
  <sheetFormatPr baseColWidth="10" defaultColWidth="8.6640625" defaultRowHeight="14.4" x14ac:dyDescent="0.3"/>
  <cols>
    <col min="1" max="1" width="12" customWidth="1"/>
    <col min="2" max="3" width="13" customWidth="1"/>
    <col min="4" max="5" width="12" customWidth="1"/>
    <col min="6" max="7" width="13" customWidth="1"/>
    <col min="8" max="8" width="12" customWidth="1"/>
    <col min="9" max="9" width="14" customWidth="1"/>
    <col min="10" max="11" width="13" customWidth="1"/>
  </cols>
  <sheetData>
    <row r="1" spans="1:11" ht="17.399999999999999" x14ac:dyDescent="0.3">
      <c r="A1" s="8" t="s">
        <v>142</v>
      </c>
    </row>
    <row r="2" spans="1:11" x14ac:dyDescent="0.3">
      <c r="A2" s="4" t="s">
        <v>143</v>
      </c>
    </row>
    <row r="3" spans="1:11" x14ac:dyDescent="0.3">
      <c r="A3" s="11" t="s">
        <v>144</v>
      </c>
    </row>
    <row r="5" spans="1:11" ht="27.6" x14ac:dyDescent="0.3">
      <c r="A5" s="9" t="s">
        <v>145</v>
      </c>
      <c r="B5" s="9" t="s">
        <v>146</v>
      </c>
      <c r="C5" s="9" t="s">
        <v>147</v>
      </c>
      <c r="D5" s="9" t="s">
        <v>148</v>
      </c>
      <c r="E5" s="9" t="s">
        <v>149</v>
      </c>
      <c r="F5" s="9" t="s">
        <v>150</v>
      </c>
      <c r="G5" s="9" t="s">
        <v>151</v>
      </c>
      <c r="H5" s="9" t="s">
        <v>152</v>
      </c>
      <c r="I5" s="9" t="s">
        <v>153</v>
      </c>
      <c r="J5" s="9" t="s">
        <v>154</v>
      </c>
      <c r="K5" s="9" t="s">
        <v>155</v>
      </c>
    </row>
    <row r="6" spans="1:11" x14ac:dyDescent="0.3">
      <c r="A6" t="s">
        <v>156</v>
      </c>
      <c r="B6" s="12">
        <v>21500</v>
      </c>
      <c r="C6" s="12">
        <v>0</v>
      </c>
      <c r="D6" s="12">
        <v>2000</v>
      </c>
      <c r="E6" s="12">
        <v>1800</v>
      </c>
      <c r="F6" s="12">
        <v>5800</v>
      </c>
      <c r="G6" s="12">
        <v>800</v>
      </c>
      <c r="H6" s="12">
        <v>1200</v>
      </c>
      <c r="I6" s="12">
        <f t="shared" ref="I6:I29" si="0">SUM(C6:H6)</f>
        <v>11600</v>
      </c>
      <c r="J6" s="13">
        <v>1500</v>
      </c>
      <c r="K6" s="12">
        <f t="shared" ref="K6:K29" si="1">I6-B6-J6</f>
        <v>-11400</v>
      </c>
    </row>
    <row r="7" spans="1:11" x14ac:dyDescent="0.3">
      <c r="A7" t="s">
        <v>157</v>
      </c>
      <c r="B7" s="12">
        <v>20800</v>
      </c>
      <c r="C7" s="12">
        <v>0</v>
      </c>
      <c r="D7" s="12">
        <v>2100</v>
      </c>
      <c r="E7" s="12">
        <v>1900</v>
      </c>
      <c r="F7" s="12">
        <v>5800</v>
      </c>
      <c r="G7" s="12">
        <v>700</v>
      </c>
      <c r="H7" s="12">
        <v>1200</v>
      </c>
      <c r="I7" s="12">
        <f t="shared" si="0"/>
        <v>11700</v>
      </c>
      <c r="J7" s="13">
        <v>1500</v>
      </c>
      <c r="K7" s="12">
        <f t="shared" si="1"/>
        <v>-10600</v>
      </c>
    </row>
    <row r="8" spans="1:11" x14ac:dyDescent="0.3">
      <c r="A8" t="s">
        <v>158</v>
      </c>
      <c r="B8" s="12">
        <v>20100</v>
      </c>
      <c r="C8" s="12">
        <v>0</v>
      </c>
      <c r="D8" s="12">
        <v>2300</v>
      </c>
      <c r="E8" s="12">
        <v>2000</v>
      </c>
      <c r="F8" s="12">
        <v>5800</v>
      </c>
      <c r="G8" s="12">
        <v>600</v>
      </c>
      <c r="H8" s="12">
        <v>1200</v>
      </c>
      <c r="I8" s="12">
        <f t="shared" si="0"/>
        <v>11900</v>
      </c>
      <c r="J8" s="13">
        <v>1500</v>
      </c>
      <c r="K8" s="12">
        <f t="shared" si="1"/>
        <v>-9700</v>
      </c>
    </row>
    <row r="9" spans="1:11" x14ac:dyDescent="0.3">
      <c r="A9" t="s">
        <v>159</v>
      </c>
      <c r="B9" s="12">
        <v>19500</v>
      </c>
      <c r="C9" s="12">
        <v>0</v>
      </c>
      <c r="D9" s="12">
        <v>2500</v>
      </c>
      <c r="E9" s="12">
        <v>2100</v>
      </c>
      <c r="F9" s="12">
        <v>5800</v>
      </c>
      <c r="G9" s="12">
        <v>500</v>
      </c>
      <c r="H9" s="12">
        <v>1200</v>
      </c>
      <c r="I9" s="12">
        <f t="shared" si="0"/>
        <v>12100</v>
      </c>
      <c r="J9" s="13">
        <v>1500</v>
      </c>
      <c r="K9" s="12">
        <f t="shared" si="1"/>
        <v>-8900</v>
      </c>
    </row>
    <row r="10" spans="1:11" x14ac:dyDescent="0.3">
      <c r="A10" t="s">
        <v>160</v>
      </c>
      <c r="B10" s="12">
        <v>19200</v>
      </c>
      <c r="C10" s="12">
        <v>0</v>
      </c>
      <c r="D10" s="12">
        <v>2700</v>
      </c>
      <c r="E10" s="12">
        <v>2200</v>
      </c>
      <c r="F10" s="12">
        <v>5800</v>
      </c>
      <c r="G10" s="12">
        <v>500</v>
      </c>
      <c r="H10" s="12">
        <v>1200</v>
      </c>
      <c r="I10" s="12">
        <f t="shared" si="0"/>
        <v>12400</v>
      </c>
      <c r="J10" s="13">
        <v>1500</v>
      </c>
      <c r="K10" s="12">
        <f t="shared" si="1"/>
        <v>-8300</v>
      </c>
    </row>
    <row r="11" spans="1:11" x14ac:dyDescent="0.3">
      <c r="A11" t="s">
        <v>161</v>
      </c>
      <c r="B11" s="12">
        <v>19800</v>
      </c>
      <c r="C11" s="12">
        <v>0</v>
      </c>
      <c r="D11" s="12">
        <v>2900</v>
      </c>
      <c r="E11" s="12">
        <v>2300</v>
      </c>
      <c r="F11" s="12">
        <v>5800</v>
      </c>
      <c r="G11" s="12">
        <v>600</v>
      </c>
      <c r="H11" s="12">
        <v>1200</v>
      </c>
      <c r="I11" s="12">
        <f t="shared" si="0"/>
        <v>12800</v>
      </c>
      <c r="J11" s="13">
        <v>1500</v>
      </c>
      <c r="K11" s="12">
        <f t="shared" si="1"/>
        <v>-8500</v>
      </c>
    </row>
    <row r="12" spans="1:11" x14ac:dyDescent="0.3">
      <c r="A12" t="s">
        <v>162</v>
      </c>
      <c r="B12" s="12">
        <v>21000</v>
      </c>
      <c r="C12" s="12">
        <v>200</v>
      </c>
      <c r="D12" s="12">
        <v>3100</v>
      </c>
      <c r="E12" s="12">
        <v>1800</v>
      </c>
      <c r="F12" s="12">
        <v>5800</v>
      </c>
      <c r="G12" s="12">
        <v>800</v>
      </c>
      <c r="H12" s="12">
        <v>1200</v>
      </c>
      <c r="I12" s="12">
        <f t="shared" si="0"/>
        <v>12900</v>
      </c>
      <c r="J12" s="13">
        <v>1500</v>
      </c>
      <c r="K12" s="12">
        <f t="shared" si="1"/>
        <v>-9600</v>
      </c>
    </row>
    <row r="13" spans="1:11" x14ac:dyDescent="0.3">
      <c r="A13" t="s">
        <v>59</v>
      </c>
      <c r="B13" s="12">
        <v>22500</v>
      </c>
      <c r="C13" s="12">
        <v>1500</v>
      </c>
      <c r="D13" s="12">
        <v>3300</v>
      </c>
      <c r="E13" s="12">
        <v>1900</v>
      </c>
      <c r="F13" s="12">
        <v>5800</v>
      </c>
      <c r="G13" s="12">
        <v>1200</v>
      </c>
      <c r="H13" s="12">
        <v>1200</v>
      </c>
      <c r="I13" s="12">
        <f t="shared" si="0"/>
        <v>14900</v>
      </c>
      <c r="J13" s="13">
        <v>1500</v>
      </c>
      <c r="K13" s="12">
        <f t="shared" si="1"/>
        <v>-9100</v>
      </c>
    </row>
    <row r="14" spans="1:11" x14ac:dyDescent="0.3">
      <c r="A14" t="s">
        <v>163</v>
      </c>
      <c r="B14" s="12">
        <v>23800</v>
      </c>
      <c r="C14" s="12">
        <v>4500</v>
      </c>
      <c r="D14" s="12">
        <v>3500</v>
      </c>
      <c r="E14" s="12">
        <v>2000</v>
      </c>
      <c r="F14" s="12">
        <v>5800</v>
      </c>
      <c r="G14" s="12">
        <v>1400</v>
      </c>
      <c r="H14" s="12">
        <v>1200</v>
      </c>
      <c r="I14" s="12">
        <f t="shared" si="0"/>
        <v>18400</v>
      </c>
      <c r="J14" s="13">
        <v>1500</v>
      </c>
      <c r="K14" s="12">
        <f t="shared" si="1"/>
        <v>-6900</v>
      </c>
    </row>
    <row r="15" spans="1:11" x14ac:dyDescent="0.3">
      <c r="A15" t="s">
        <v>58</v>
      </c>
      <c r="B15" s="12">
        <v>25100</v>
      </c>
      <c r="C15" s="12">
        <v>8500</v>
      </c>
      <c r="D15" s="12">
        <v>3700</v>
      </c>
      <c r="E15" s="12">
        <v>2100</v>
      </c>
      <c r="F15" s="12">
        <v>5800</v>
      </c>
      <c r="G15" s="12">
        <v>1500</v>
      </c>
      <c r="H15" s="12">
        <v>1200</v>
      </c>
      <c r="I15" s="12">
        <f t="shared" si="0"/>
        <v>22800</v>
      </c>
      <c r="J15" s="13">
        <v>1500</v>
      </c>
      <c r="K15" s="12">
        <f t="shared" si="1"/>
        <v>-3800</v>
      </c>
    </row>
    <row r="16" spans="1:11" x14ac:dyDescent="0.3">
      <c r="A16" t="s">
        <v>164</v>
      </c>
      <c r="B16" s="12">
        <v>25800</v>
      </c>
      <c r="C16" s="12">
        <v>13000</v>
      </c>
      <c r="D16" s="12">
        <v>3900</v>
      </c>
      <c r="E16" s="12">
        <v>2200</v>
      </c>
      <c r="F16" s="12">
        <v>5800</v>
      </c>
      <c r="G16" s="12">
        <v>1600</v>
      </c>
      <c r="H16" s="12">
        <v>1200</v>
      </c>
      <c r="I16" s="12">
        <f t="shared" si="0"/>
        <v>27700</v>
      </c>
      <c r="J16" s="13">
        <v>1500</v>
      </c>
      <c r="K16" s="12">
        <f t="shared" si="1"/>
        <v>400</v>
      </c>
    </row>
    <row r="17" spans="1:11" x14ac:dyDescent="0.3">
      <c r="A17" t="s">
        <v>165</v>
      </c>
      <c r="B17" s="13">
        <v>25200</v>
      </c>
      <c r="C17" s="13">
        <v>16500</v>
      </c>
      <c r="D17" s="13">
        <v>4100</v>
      </c>
      <c r="E17" s="13">
        <v>2300</v>
      </c>
      <c r="F17" s="13">
        <v>5800</v>
      </c>
      <c r="G17" s="13">
        <v>1650</v>
      </c>
      <c r="H17" s="13">
        <v>1200</v>
      </c>
      <c r="I17" s="12">
        <f t="shared" si="0"/>
        <v>31550</v>
      </c>
      <c r="J17" s="13">
        <v>1500</v>
      </c>
      <c r="K17" s="12">
        <f t="shared" si="1"/>
        <v>4850</v>
      </c>
    </row>
    <row r="18" spans="1:11" x14ac:dyDescent="0.3">
      <c r="A18" s="14" t="s">
        <v>166</v>
      </c>
      <c r="B18" s="15">
        <v>25000</v>
      </c>
      <c r="C18" s="15">
        <v>18068</v>
      </c>
      <c r="D18" s="15">
        <v>4300</v>
      </c>
      <c r="E18" s="15">
        <v>1800</v>
      </c>
      <c r="F18" s="15">
        <v>5800</v>
      </c>
      <c r="G18" s="15">
        <v>1635</v>
      </c>
      <c r="H18" s="15">
        <v>1200</v>
      </c>
      <c r="I18" s="16">
        <f t="shared" si="0"/>
        <v>32803</v>
      </c>
      <c r="J18" s="15">
        <v>4250</v>
      </c>
      <c r="K18" s="16">
        <f t="shared" si="1"/>
        <v>3553</v>
      </c>
    </row>
    <row r="19" spans="1:11" x14ac:dyDescent="0.3">
      <c r="A19" t="s">
        <v>167</v>
      </c>
      <c r="B19" s="13">
        <v>9200</v>
      </c>
      <c r="C19" s="13">
        <v>0</v>
      </c>
      <c r="D19" s="13">
        <v>4500</v>
      </c>
      <c r="E19" s="13">
        <v>1900</v>
      </c>
      <c r="F19" s="13">
        <v>1500</v>
      </c>
      <c r="G19" s="13">
        <v>200</v>
      </c>
      <c r="H19" s="13">
        <v>1200</v>
      </c>
      <c r="I19" s="12">
        <f t="shared" si="0"/>
        <v>9300</v>
      </c>
      <c r="J19" s="13">
        <v>0</v>
      </c>
      <c r="K19" s="12">
        <f t="shared" si="1"/>
        <v>100</v>
      </c>
    </row>
    <row r="20" spans="1:11" x14ac:dyDescent="0.3">
      <c r="A20" t="s">
        <v>168</v>
      </c>
      <c r="B20" s="12">
        <v>8000</v>
      </c>
      <c r="C20" s="12">
        <v>0</v>
      </c>
      <c r="D20" s="12">
        <v>4300</v>
      </c>
      <c r="E20" s="12">
        <v>2000</v>
      </c>
      <c r="F20" s="12">
        <v>1500</v>
      </c>
      <c r="G20" s="12">
        <v>100</v>
      </c>
      <c r="H20" s="12">
        <v>1200</v>
      </c>
      <c r="I20" s="12">
        <f t="shared" si="0"/>
        <v>9100</v>
      </c>
      <c r="J20" s="13">
        <v>0</v>
      </c>
      <c r="K20" s="12">
        <f t="shared" si="1"/>
        <v>1100</v>
      </c>
    </row>
    <row r="21" spans="1:11" x14ac:dyDescent="0.3">
      <c r="A21" t="s">
        <v>169</v>
      </c>
      <c r="B21" s="12">
        <v>8500</v>
      </c>
      <c r="C21" s="12">
        <v>0</v>
      </c>
      <c r="D21" s="12">
        <v>4100</v>
      </c>
      <c r="E21" s="12">
        <v>2100</v>
      </c>
      <c r="F21" s="12">
        <v>1500</v>
      </c>
      <c r="G21" s="12">
        <v>100</v>
      </c>
      <c r="H21" s="12">
        <v>1200</v>
      </c>
      <c r="I21" s="12">
        <f t="shared" si="0"/>
        <v>9000</v>
      </c>
      <c r="J21" s="13">
        <v>0</v>
      </c>
      <c r="K21" s="12">
        <f t="shared" si="1"/>
        <v>500</v>
      </c>
    </row>
    <row r="22" spans="1:11" x14ac:dyDescent="0.3">
      <c r="A22" t="s">
        <v>170</v>
      </c>
      <c r="B22" s="12">
        <v>9500</v>
      </c>
      <c r="C22" s="12">
        <v>0</v>
      </c>
      <c r="D22" s="12">
        <v>3900</v>
      </c>
      <c r="E22" s="12">
        <v>2200</v>
      </c>
      <c r="F22" s="12">
        <v>1500</v>
      </c>
      <c r="G22" s="12">
        <v>200</v>
      </c>
      <c r="H22" s="12">
        <v>1200</v>
      </c>
      <c r="I22" s="12">
        <f t="shared" si="0"/>
        <v>9000</v>
      </c>
      <c r="J22" s="13">
        <v>0</v>
      </c>
      <c r="K22" s="12">
        <f t="shared" si="1"/>
        <v>-500</v>
      </c>
    </row>
    <row r="23" spans="1:11" x14ac:dyDescent="0.3">
      <c r="A23" t="s">
        <v>171</v>
      </c>
      <c r="B23" s="12">
        <v>11000</v>
      </c>
      <c r="C23" s="12">
        <v>0</v>
      </c>
      <c r="D23" s="12">
        <v>3700</v>
      </c>
      <c r="E23" s="12">
        <v>2300</v>
      </c>
      <c r="F23" s="12">
        <v>1500</v>
      </c>
      <c r="G23" s="12">
        <v>500</v>
      </c>
      <c r="H23" s="12">
        <v>1200</v>
      </c>
      <c r="I23" s="12">
        <f t="shared" si="0"/>
        <v>9200</v>
      </c>
      <c r="J23" s="13">
        <v>0</v>
      </c>
      <c r="K23" s="12">
        <f t="shared" si="1"/>
        <v>-1800</v>
      </c>
    </row>
    <row r="24" spans="1:11" x14ac:dyDescent="0.3">
      <c r="A24" t="s">
        <v>172</v>
      </c>
      <c r="B24" s="12">
        <v>14000</v>
      </c>
      <c r="C24" s="12">
        <v>0</v>
      </c>
      <c r="D24" s="12">
        <v>3500</v>
      </c>
      <c r="E24" s="12">
        <v>1800</v>
      </c>
      <c r="F24" s="12">
        <v>1500</v>
      </c>
      <c r="G24" s="12">
        <v>1000</v>
      </c>
      <c r="H24" s="12">
        <v>1200</v>
      </c>
      <c r="I24" s="12">
        <f t="shared" si="0"/>
        <v>9000</v>
      </c>
      <c r="J24" s="13">
        <v>0</v>
      </c>
      <c r="K24" s="12">
        <f t="shared" si="1"/>
        <v>-5000</v>
      </c>
    </row>
    <row r="25" spans="1:11" x14ac:dyDescent="0.3">
      <c r="A25" t="s">
        <v>173</v>
      </c>
      <c r="B25" s="12">
        <v>18000</v>
      </c>
      <c r="C25" s="12">
        <v>5000</v>
      </c>
      <c r="D25" s="12">
        <v>3300</v>
      </c>
      <c r="E25" s="12">
        <v>1900</v>
      </c>
      <c r="F25" s="12">
        <v>1500</v>
      </c>
      <c r="G25" s="12">
        <v>1500</v>
      </c>
      <c r="H25" s="12">
        <v>1200</v>
      </c>
      <c r="I25" s="12">
        <f t="shared" si="0"/>
        <v>14400</v>
      </c>
      <c r="J25" s="13">
        <v>0</v>
      </c>
      <c r="K25" s="12">
        <f t="shared" si="1"/>
        <v>-3600</v>
      </c>
    </row>
    <row r="26" spans="1:11" x14ac:dyDescent="0.3">
      <c r="A26" t="s">
        <v>174</v>
      </c>
      <c r="B26" s="12">
        <v>22000</v>
      </c>
      <c r="C26" s="12">
        <v>1500</v>
      </c>
      <c r="D26" s="12">
        <v>3100</v>
      </c>
      <c r="E26" s="12">
        <v>2000</v>
      </c>
      <c r="F26" s="12">
        <v>1500</v>
      </c>
      <c r="G26" s="12">
        <v>1800</v>
      </c>
      <c r="H26" s="12">
        <v>1200</v>
      </c>
      <c r="I26" s="12">
        <f t="shared" si="0"/>
        <v>11100</v>
      </c>
      <c r="J26" s="13">
        <v>0</v>
      </c>
      <c r="K26" s="12">
        <f t="shared" si="1"/>
        <v>-10900</v>
      </c>
    </row>
    <row r="27" spans="1:11" x14ac:dyDescent="0.3">
      <c r="A27" t="s">
        <v>175</v>
      </c>
      <c r="B27" s="12">
        <v>23500</v>
      </c>
      <c r="C27" s="12">
        <v>200</v>
      </c>
      <c r="D27" s="12">
        <v>2900</v>
      </c>
      <c r="E27" s="12">
        <v>2100</v>
      </c>
      <c r="F27" s="12">
        <v>1500</v>
      </c>
      <c r="G27" s="12">
        <v>1700</v>
      </c>
      <c r="H27" s="12">
        <v>1200</v>
      </c>
      <c r="I27" s="12">
        <f t="shared" si="0"/>
        <v>9600</v>
      </c>
      <c r="J27" s="13">
        <v>0</v>
      </c>
      <c r="K27" s="12">
        <f t="shared" si="1"/>
        <v>-13900</v>
      </c>
    </row>
    <row r="28" spans="1:11" x14ac:dyDescent="0.3">
      <c r="A28" t="s">
        <v>176</v>
      </c>
      <c r="B28" s="12">
        <v>23000</v>
      </c>
      <c r="C28" s="12">
        <v>0</v>
      </c>
      <c r="D28" s="12">
        <v>2700</v>
      </c>
      <c r="E28" s="12">
        <v>2200</v>
      </c>
      <c r="F28" s="12">
        <v>1500</v>
      </c>
      <c r="G28" s="12">
        <v>1500</v>
      </c>
      <c r="H28" s="12">
        <v>1200</v>
      </c>
      <c r="I28" s="12">
        <f t="shared" si="0"/>
        <v>9100</v>
      </c>
      <c r="J28" s="13">
        <v>0</v>
      </c>
      <c r="K28" s="12">
        <f t="shared" si="1"/>
        <v>-13900</v>
      </c>
    </row>
    <row r="29" spans="1:11" x14ac:dyDescent="0.3">
      <c r="A29" t="s">
        <v>177</v>
      </c>
      <c r="B29" s="12">
        <v>22000</v>
      </c>
      <c r="C29" s="12">
        <v>0</v>
      </c>
      <c r="D29" s="12">
        <v>2500</v>
      </c>
      <c r="E29" s="12">
        <v>2300</v>
      </c>
      <c r="F29" s="12">
        <v>1500</v>
      </c>
      <c r="G29" s="12">
        <v>1200</v>
      </c>
      <c r="H29" s="12">
        <v>1200</v>
      </c>
      <c r="I29" s="12">
        <f t="shared" si="0"/>
        <v>8700</v>
      </c>
      <c r="J29" s="13">
        <v>0</v>
      </c>
      <c r="K29" s="12">
        <f t="shared" si="1"/>
        <v>-13300</v>
      </c>
    </row>
    <row r="31" spans="1:11" x14ac:dyDescent="0.3">
      <c r="A31" s="2" t="s">
        <v>178</v>
      </c>
      <c r="B31" s="2"/>
      <c r="C31" s="2"/>
      <c r="D31" s="2"/>
      <c r="E31" s="2"/>
      <c r="F31" s="2"/>
      <c r="G31" s="2"/>
      <c r="H31" s="2"/>
      <c r="I31" s="2"/>
      <c r="J31" s="2"/>
      <c r="K31" s="2"/>
    </row>
  </sheetData>
  <mergeCells count="1">
    <mergeCell ref="A31:K31"/>
  </mergeCells>
  <pageMargins left="0.75" right="0.75" top="1" bottom="1" header="0.511811023622047" footer="0.511811023622047"/>
  <pageSetup paperSize="9" orientation="portrait" horizontalDpi="300" verticalDpi="300"/>
  <headerFooter>
    <oddFooter>&amp;C_x000D_&amp;1#&amp;"Arial"&amp;7&amp;K7f7f7f General</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
  <sheetViews>
    <sheetView zoomScaleNormal="100" workbookViewId="0"/>
  </sheetViews>
  <sheetFormatPr baseColWidth="10" defaultColWidth="8.6640625" defaultRowHeight="14.4" x14ac:dyDescent="0.3"/>
  <cols>
    <col min="1" max="1" width="13" customWidth="1"/>
    <col min="2" max="2" width="14" customWidth="1"/>
    <col min="3" max="3" width="16" customWidth="1"/>
    <col min="4" max="4" width="13" customWidth="1"/>
    <col min="5" max="5" width="14" customWidth="1"/>
    <col min="6" max="6" width="16" customWidth="1"/>
    <col min="7" max="7" width="14" customWidth="1"/>
    <col min="8" max="8" width="60" customWidth="1"/>
  </cols>
  <sheetData>
    <row r="1" spans="1:8" ht="17.399999999999999" x14ac:dyDescent="0.3">
      <c r="A1" s="8" t="s">
        <v>179</v>
      </c>
    </row>
    <row r="2" spans="1:8" x14ac:dyDescent="0.3">
      <c r="A2" s="4" t="s">
        <v>180</v>
      </c>
    </row>
    <row r="4" spans="1:8" ht="27.6" x14ac:dyDescent="0.3">
      <c r="A4" s="9" t="s">
        <v>53</v>
      </c>
      <c r="B4" s="9" t="s">
        <v>146</v>
      </c>
      <c r="C4" s="9" t="s">
        <v>153</v>
      </c>
      <c r="D4" s="9" t="s">
        <v>181</v>
      </c>
      <c r="E4" s="9" t="s">
        <v>182</v>
      </c>
      <c r="F4" s="9" t="s">
        <v>183</v>
      </c>
      <c r="G4" s="9" t="s">
        <v>184</v>
      </c>
      <c r="H4" s="9" t="s">
        <v>185</v>
      </c>
    </row>
    <row r="5" spans="1:8" x14ac:dyDescent="0.3">
      <c r="A5" s="17" t="s">
        <v>165</v>
      </c>
      <c r="B5" s="13">
        <v>25800</v>
      </c>
      <c r="C5" s="13">
        <v>27300</v>
      </c>
      <c r="D5" s="18">
        <f t="shared" ref="D5:D15" si="0">(C5-E5)/C5</f>
        <v>0.706959706959707</v>
      </c>
      <c r="E5" s="13">
        <v>8000</v>
      </c>
      <c r="F5" s="19">
        <f t="shared" ref="F5:F15" si="1">E5*5/C5</f>
        <v>1.4652014652014651</v>
      </c>
      <c r="G5" s="20">
        <v>50</v>
      </c>
      <c r="H5" s="21" t="s">
        <v>186</v>
      </c>
    </row>
    <row r="6" spans="1:8" x14ac:dyDescent="0.3">
      <c r="A6" s="17" t="s">
        <v>187</v>
      </c>
      <c r="B6" s="13">
        <v>25600</v>
      </c>
      <c r="C6" s="13">
        <v>27100</v>
      </c>
      <c r="D6" s="18">
        <f t="shared" si="0"/>
        <v>0.70848708487084866</v>
      </c>
      <c r="E6" s="13">
        <v>7900</v>
      </c>
      <c r="F6" s="19">
        <f t="shared" si="1"/>
        <v>1.4575645756457565</v>
      </c>
      <c r="G6" s="20">
        <v>50.01</v>
      </c>
      <c r="H6" s="21" t="s">
        <v>188</v>
      </c>
    </row>
    <row r="7" spans="1:8" x14ac:dyDescent="0.3">
      <c r="A7" s="17" t="s">
        <v>189</v>
      </c>
      <c r="B7" s="13">
        <v>25400</v>
      </c>
      <c r="C7" s="13">
        <v>26900</v>
      </c>
      <c r="D7" s="18">
        <f t="shared" si="0"/>
        <v>0.71003717472118955</v>
      </c>
      <c r="E7" s="13">
        <v>7800</v>
      </c>
      <c r="F7" s="19">
        <f t="shared" si="1"/>
        <v>1.449814126394052</v>
      </c>
      <c r="G7" s="20">
        <v>50</v>
      </c>
      <c r="H7" s="21" t="s">
        <v>190</v>
      </c>
    </row>
    <row r="8" spans="1:8" x14ac:dyDescent="0.3">
      <c r="A8" s="17" t="s">
        <v>191</v>
      </c>
      <c r="B8" s="13">
        <v>25300</v>
      </c>
      <c r="C8" s="13">
        <v>26700</v>
      </c>
      <c r="D8" s="18">
        <f t="shared" si="0"/>
        <v>0.71161048689138573</v>
      </c>
      <c r="E8" s="13">
        <v>7700</v>
      </c>
      <c r="F8" s="19">
        <f t="shared" si="1"/>
        <v>1.4419475655430711</v>
      </c>
      <c r="G8" s="20">
        <v>49.99</v>
      </c>
      <c r="H8" s="21" t="s">
        <v>192</v>
      </c>
    </row>
    <row r="9" spans="1:8" x14ac:dyDescent="0.3">
      <c r="A9" s="17" t="s">
        <v>166</v>
      </c>
      <c r="B9" s="13">
        <v>25200</v>
      </c>
      <c r="C9" s="13">
        <v>26500</v>
      </c>
      <c r="D9" s="18">
        <f t="shared" si="0"/>
        <v>0.71320754716981127</v>
      </c>
      <c r="E9" s="13">
        <v>7600</v>
      </c>
      <c r="F9" s="19">
        <f t="shared" si="1"/>
        <v>1.4339622641509433</v>
      </c>
      <c r="G9" s="20">
        <v>50</v>
      </c>
      <c r="H9" s="21" t="s">
        <v>193</v>
      </c>
    </row>
    <row r="10" spans="1:8" x14ac:dyDescent="0.3">
      <c r="A10" s="22" t="s">
        <v>67</v>
      </c>
      <c r="B10" s="23">
        <v>25150</v>
      </c>
      <c r="C10" s="23">
        <v>26450</v>
      </c>
      <c r="D10" s="24">
        <f t="shared" si="0"/>
        <v>0.71644612476370506</v>
      </c>
      <c r="E10" s="23">
        <v>7500</v>
      </c>
      <c r="F10" s="25">
        <f t="shared" si="1"/>
        <v>1.4177693761814745</v>
      </c>
      <c r="G10" s="26">
        <v>49.98</v>
      </c>
      <c r="H10" s="27" t="s">
        <v>194</v>
      </c>
    </row>
    <row r="11" spans="1:8" x14ac:dyDescent="0.3">
      <c r="A11" s="17" t="s">
        <v>72</v>
      </c>
      <c r="B11" s="13">
        <v>25100</v>
      </c>
      <c r="C11" s="13">
        <v>26400</v>
      </c>
      <c r="D11" s="18">
        <f t="shared" si="0"/>
        <v>0.71780303030303028</v>
      </c>
      <c r="E11" s="13">
        <v>7450</v>
      </c>
      <c r="F11" s="19">
        <f t="shared" si="1"/>
        <v>1.4109848484848484</v>
      </c>
      <c r="G11" s="20">
        <v>50.02</v>
      </c>
      <c r="H11" s="21" t="s">
        <v>195</v>
      </c>
    </row>
    <row r="12" spans="1:8" x14ac:dyDescent="0.3">
      <c r="A12" s="17" t="s">
        <v>196</v>
      </c>
      <c r="B12" s="13">
        <v>25050</v>
      </c>
      <c r="C12" s="13">
        <v>26350</v>
      </c>
      <c r="D12" s="18">
        <f t="shared" si="0"/>
        <v>0.71916508538899426</v>
      </c>
      <c r="E12" s="13">
        <v>7400</v>
      </c>
      <c r="F12" s="19">
        <f t="shared" si="1"/>
        <v>1.4041745730550284</v>
      </c>
      <c r="G12" s="20">
        <v>50</v>
      </c>
      <c r="H12" s="21" t="s">
        <v>197</v>
      </c>
    </row>
    <row r="13" spans="1:8" x14ac:dyDescent="0.3">
      <c r="A13" s="22" t="s">
        <v>76</v>
      </c>
      <c r="B13" s="23">
        <v>25030</v>
      </c>
      <c r="C13" s="23">
        <v>26330</v>
      </c>
      <c r="D13" s="24">
        <f t="shared" si="0"/>
        <v>0.72085074060007592</v>
      </c>
      <c r="E13" s="23">
        <v>7350</v>
      </c>
      <c r="F13" s="25">
        <f t="shared" si="1"/>
        <v>1.3957462969996202</v>
      </c>
      <c r="G13" s="26">
        <v>49.97</v>
      </c>
      <c r="H13" s="27" t="s">
        <v>198</v>
      </c>
    </row>
    <row r="14" spans="1:8" x14ac:dyDescent="0.3">
      <c r="A14" s="17" t="s">
        <v>81</v>
      </c>
      <c r="B14" s="13">
        <v>25020</v>
      </c>
      <c r="C14" s="13">
        <v>26320</v>
      </c>
      <c r="D14" s="18">
        <f t="shared" si="0"/>
        <v>0.72264437689969607</v>
      </c>
      <c r="E14" s="13">
        <v>7300</v>
      </c>
      <c r="F14" s="19">
        <f t="shared" si="1"/>
        <v>1.3867781155015197</v>
      </c>
      <c r="G14" s="20">
        <v>50.03</v>
      </c>
      <c r="H14" s="21" t="s">
        <v>199</v>
      </c>
    </row>
    <row r="15" spans="1:8" x14ac:dyDescent="0.3">
      <c r="A15" s="28" t="s">
        <v>86</v>
      </c>
      <c r="B15" s="15">
        <v>25000</v>
      </c>
      <c r="C15" s="15">
        <v>32000</v>
      </c>
      <c r="D15" s="29">
        <f t="shared" si="0"/>
        <v>0.77187499999999998</v>
      </c>
      <c r="E15" s="15">
        <v>7300</v>
      </c>
      <c r="F15" s="30">
        <f t="shared" si="1"/>
        <v>1.140625</v>
      </c>
      <c r="G15" s="31">
        <v>49.94</v>
      </c>
      <c r="H15" s="32" t="s">
        <v>200</v>
      </c>
    </row>
  </sheetData>
  <pageMargins left="0.75" right="0.75" top="1" bottom="1" header="0.511811023622047" footer="0.511811023622047"/>
  <pageSetup paperSize="9" orientation="portrait" horizontalDpi="300" verticalDpi="300"/>
  <headerFooter>
    <oddFooter>&amp;C_x000D_&amp;1#&amp;"Arial"&amp;7&amp;K7f7f7f General</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6"/>
  <sheetViews>
    <sheetView topLeftCell="G65" zoomScaleNormal="100" workbookViewId="0">
      <selection activeCell="H6" sqref="H6"/>
    </sheetView>
  </sheetViews>
  <sheetFormatPr baseColWidth="10" defaultColWidth="8.6640625" defaultRowHeight="14.4" x14ac:dyDescent="0.3"/>
  <cols>
    <col min="1" max="1" width="12" customWidth="1"/>
    <col min="2" max="2" width="11" customWidth="1"/>
    <col min="3" max="3" width="14" customWidth="1"/>
    <col min="4" max="4" width="16" customWidth="1"/>
    <col min="5" max="5" width="12" customWidth="1"/>
    <col min="6" max="8" width="13" customWidth="1"/>
    <col min="9" max="9" width="50" customWidth="1"/>
  </cols>
  <sheetData>
    <row r="1" spans="1:9" ht="17.399999999999999" x14ac:dyDescent="0.3">
      <c r="A1" s="8" t="s">
        <v>201</v>
      </c>
    </row>
    <row r="2" spans="1:9" x14ac:dyDescent="0.3">
      <c r="A2" s="4" t="s">
        <v>202</v>
      </c>
    </row>
    <row r="3" spans="1:9" x14ac:dyDescent="0.3">
      <c r="A3" s="11" t="s">
        <v>203</v>
      </c>
    </row>
    <row r="5" spans="1:9" ht="27.6" x14ac:dyDescent="0.3">
      <c r="A5" s="9" t="s">
        <v>53</v>
      </c>
      <c r="B5" s="9" t="s">
        <v>204</v>
      </c>
      <c r="C5" s="9" t="s">
        <v>205</v>
      </c>
      <c r="D5" s="9" t="s">
        <v>206</v>
      </c>
      <c r="E5" s="9" t="s">
        <v>207</v>
      </c>
      <c r="F5" s="9" t="s">
        <v>208</v>
      </c>
      <c r="G5" s="9" t="s">
        <v>209</v>
      </c>
      <c r="H5" s="9" t="s">
        <v>184</v>
      </c>
      <c r="I5" s="9" t="s">
        <v>210</v>
      </c>
    </row>
    <row r="6" spans="1:9" x14ac:dyDescent="0.3">
      <c r="A6" s="17" t="s">
        <v>211</v>
      </c>
      <c r="B6" s="17">
        <v>0</v>
      </c>
      <c r="C6" s="13">
        <v>29250</v>
      </c>
      <c r="D6" s="13">
        <v>32000</v>
      </c>
      <c r="E6" s="33">
        <f t="shared" ref="E6:E37" si="0">D6-C6</f>
        <v>2750</v>
      </c>
      <c r="F6" s="20">
        <v>1.141</v>
      </c>
      <c r="G6" s="34">
        <f t="shared" ref="G6:G37" si="1">IFERROR(E6*50/(2*F6*25000), 0)</f>
        <v>2.4101665205959684</v>
      </c>
      <c r="H6" s="20">
        <v>49.94</v>
      </c>
      <c r="I6" s="21"/>
    </row>
    <row r="7" spans="1:9" x14ac:dyDescent="0.3">
      <c r="A7" s="17" t="s">
        <v>212</v>
      </c>
      <c r="B7" s="17">
        <v>1</v>
      </c>
      <c r="C7" s="12">
        <v>29250</v>
      </c>
      <c r="D7" s="12">
        <v>32000</v>
      </c>
      <c r="E7" s="33">
        <f t="shared" si="0"/>
        <v>2750</v>
      </c>
      <c r="F7" s="20">
        <v>1.141</v>
      </c>
      <c r="G7" s="34">
        <f t="shared" si="1"/>
        <v>2.4101665205959684</v>
      </c>
      <c r="H7" s="20">
        <v>50.5</v>
      </c>
      <c r="I7" s="21"/>
    </row>
    <row r="8" spans="1:9" x14ac:dyDescent="0.3">
      <c r="A8" s="17" t="s">
        <v>213</v>
      </c>
      <c r="B8" s="17">
        <v>2</v>
      </c>
      <c r="C8" s="12">
        <v>29250</v>
      </c>
      <c r="D8" s="12">
        <v>32000</v>
      </c>
      <c r="E8" s="33">
        <f t="shared" si="0"/>
        <v>2750</v>
      </c>
      <c r="F8" s="20">
        <v>1.141</v>
      </c>
      <c r="G8" s="34">
        <f t="shared" si="1"/>
        <v>2.4101665205959684</v>
      </c>
      <c r="H8" s="20">
        <v>50.5</v>
      </c>
      <c r="I8" s="21"/>
    </row>
    <row r="9" spans="1:9" x14ac:dyDescent="0.3">
      <c r="A9" s="17" t="s">
        <v>214</v>
      </c>
      <c r="B9" s="17">
        <v>3</v>
      </c>
      <c r="C9" s="12">
        <v>29250</v>
      </c>
      <c r="D9" s="12">
        <v>32000</v>
      </c>
      <c r="E9" s="33">
        <f t="shared" si="0"/>
        <v>2750</v>
      </c>
      <c r="F9" s="20">
        <v>1.141</v>
      </c>
      <c r="G9" s="34">
        <f t="shared" si="1"/>
        <v>2.4101665205959684</v>
      </c>
      <c r="H9" s="20">
        <v>50.5</v>
      </c>
      <c r="I9" s="21"/>
    </row>
    <row r="10" spans="1:9" x14ac:dyDescent="0.3">
      <c r="A10" s="17" t="s">
        <v>215</v>
      </c>
      <c r="B10" s="17">
        <v>4</v>
      </c>
      <c r="C10" s="12">
        <v>29250</v>
      </c>
      <c r="D10" s="12">
        <v>32000</v>
      </c>
      <c r="E10" s="33">
        <f t="shared" si="0"/>
        <v>2750</v>
      </c>
      <c r="F10" s="20">
        <v>1.141</v>
      </c>
      <c r="G10" s="34">
        <f t="shared" si="1"/>
        <v>2.4101665205959684</v>
      </c>
      <c r="H10" s="20">
        <v>50.5</v>
      </c>
      <c r="I10" s="21"/>
    </row>
    <row r="11" spans="1:9" x14ac:dyDescent="0.3">
      <c r="A11" s="17" t="s">
        <v>216</v>
      </c>
      <c r="B11" s="17">
        <v>5</v>
      </c>
      <c r="C11" s="12">
        <v>29250</v>
      </c>
      <c r="D11" s="12">
        <v>32000</v>
      </c>
      <c r="E11" s="33">
        <f t="shared" si="0"/>
        <v>2750</v>
      </c>
      <c r="F11" s="20">
        <v>1.141</v>
      </c>
      <c r="G11" s="34">
        <f t="shared" si="1"/>
        <v>2.4101665205959684</v>
      </c>
      <c r="H11" s="20">
        <v>50.5</v>
      </c>
      <c r="I11" s="21"/>
    </row>
    <row r="12" spans="1:9" x14ac:dyDescent="0.3">
      <c r="A12" s="17" t="s">
        <v>217</v>
      </c>
      <c r="B12" s="17">
        <v>6</v>
      </c>
      <c r="C12" s="12">
        <v>29250</v>
      </c>
      <c r="D12" s="12">
        <v>32000</v>
      </c>
      <c r="E12" s="33">
        <f t="shared" si="0"/>
        <v>2750</v>
      </c>
      <c r="F12" s="20">
        <v>1.141</v>
      </c>
      <c r="G12" s="34">
        <f t="shared" si="1"/>
        <v>2.4101665205959684</v>
      </c>
      <c r="H12" s="20">
        <v>50.5</v>
      </c>
      <c r="I12" s="21"/>
    </row>
    <row r="13" spans="1:9" x14ac:dyDescent="0.3">
      <c r="A13" s="17" t="s">
        <v>218</v>
      </c>
      <c r="B13" s="17">
        <v>7</v>
      </c>
      <c r="C13" s="12">
        <v>29250</v>
      </c>
      <c r="D13" s="12">
        <v>32000</v>
      </c>
      <c r="E13" s="33">
        <f t="shared" si="0"/>
        <v>2750</v>
      </c>
      <c r="F13" s="20">
        <v>1.141</v>
      </c>
      <c r="G13" s="34">
        <f t="shared" si="1"/>
        <v>2.4101665205959684</v>
      </c>
      <c r="H13" s="20">
        <v>50.5</v>
      </c>
      <c r="I13" s="21"/>
    </row>
    <row r="14" spans="1:9" x14ac:dyDescent="0.3">
      <c r="A14" s="17" t="s">
        <v>219</v>
      </c>
      <c r="B14" s="17">
        <v>8</v>
      </c>
      <c r="C14" s="12">
        <v>29250</v>
      </c>
      <c r="D14" s="12">
        <v>32000</v>
      </c>
      <c r="E14" s="33">
        <f t="shared" si="0"/>
        <v>2750</v>
      </c>
      <c r="F14" s="20">
        <v>1.141</v>
      </c>
      <c r="G14" s="34">
        <f t="shared" si="1"/>
        <v>2.4101665205959684</v>
      </c>
      <c r="H14" s="20">
        <v>50.5</v>
      </c>
      <c r="I14" s="21"/>
    </row>
    <row r="15" spans="1:9" x14ac:dyDescent="0.3">
      <c r="A15" s="17" t="s">
        <v>220</v>
      </c>
      <c r="B15" s="17">
        <v>9</v>
      </c>
      <c r="C15" s="12">
        <v>29250</v>
      </c>
      <c r="D15" s="12">
        <v>32000</v>
      </c>
      <c r="E15" s="33">
        <f t="shared" si="0"/>
        <v>2750</v>
      </c>
      <c r="F15" s="20">
        <v>1.141</v>
      </c>
      <c r="G15" s="34">
        <f t="shared" si="1"/>
        <v>2.4101665205959684</v>
      </c>
      <c r="H15" s="20">
        <v>50.5</v>
      </c>
      <c r="I15" s="21"/>
    </row>
    <row r="16" spans="1:9" x14ac:dyDescent="0.3">
      <c r="A16" s="17" t="s">
        <v>221</v>
      </c>
      <c r="B16" s="17">
        <v>10</v>
      </c>
      <c r="C16" s="12">
        <v>29250</v>
      </c>
      <c r="D16" s="12">
        <v>32000</v>
      </c>
      <c r="E16" s="33">
        <f t="shared" si="0"/>
        <v>2750</v>
      </c>
      <c r="F16" s="20">
        <v>1.141</v>
      </c>
      <c r="G16" s="34">
        <f t="shared" si="1"/>
        <v>2.4101665205959684</v>
      </c>
      <c r="H16" s="20">
        <v>50.5</v>
      </c>
      <c r="I16" s="21"/>
    </row>
    <row r="17" spans="1:9" x14ac:dyDescent="0.3">
      <c r="A17" s="17" t="s">
        <v>222</v>
      </c>
      <c r="B17" s="17">
        <v>11</v>
      </c>
      <c r="C17" s="12">
        <v>29250</v>
      </c>
      <c r="D17" s="12">
        <v>32000</v>
      </c>
      <c r="E17" s="33">
        <f t="shared" si="0"/>
        <v>2750</v>
      </c>
      <c r="F17" s="20">
        <v>1.141</v>
      </c>
      <c r="G17" s="34">
        <f t="shared" si="1"/>
        <v>2.4101665205959684</v>
      </c>
      <c r="H17" s="20">
        <v>50.5</v>
      </c>
      <c r="I17" s="21"/>
    </row>
    <row r="18" spans="1:9" x14ac:dyDescent="0.3">
      <c r="A18" s="17" t="s">
        <v>223</v>
      </c>
      <c r="B18" s="17">
        <v>12</v>
      </c>
      <c r="C18" s="12">
        <v>29250</v>
      </c>
      <c r="D18" s="12">
        <v>32000</v>
      </c>
      <c r="E18" s="33">
        <f t="shared" si="0"/>
        <v>2750</v>
      </c>
      <c r="F18" s="20">
        <v>1.141</v>
      </c>
      <c r="G18" s="34">
        <f t="shared" si="1"/>
        <v>2.4101665205959684</v>
      </c>
      <c r="H18" s="20">
        <v>50.5</v>
      </c>
      <c r="I18" s="21"/>
    </row>
    <row r="19" spans="1:9" x14ac:dyDescent="0.3">
      <c r="A19" s="17" t="s">
        <v>224</v>
      </c>
      <c r="B19" s="17">
        <v>13</v>
      </c>
      <c r="C19" s="12">
        <v>29250</v>
      </c>
      <c r="D19" s="12">
        <v>32000</v>
      </c>
      <c r="E19" s="33">
        <f t="shared" si="0"/>
        <v>2750</v>
      </c>
      <c r="F19" s="20">
        <v>1.141</v>
      </c>
      <c r="G19" s="34">
        <f t="shared" si="1"/>
        <v>2.4101665205959684</v>
      </c>
      <c r="H19" s="20">
        <v>50.5</v>
      </c>
      <c r="I19" s="21"/>
    </row>
    <row r="20" spans="1:9" x14ac:dyDescent="0.3">
      <c r="A20" s="17" t="s">
        <v>225</v>
      </c>
      <c r="B20" s="17">
        <v>14</v>
      </c>
      <c r="C20" s="12">
        <v>29250</v>
      </c>
      <c r="D20" s="12">
        <v>32000</v>
      </c>
      <c r="E20" s="33">
        <f t="shared" si="0"/>
        <v>2750</v>
      </c>
      <c r="F20" s="20">
        <v>1.141</v>
      </c>
      <c r="G20" s="34">
        <f t="shared" si="1"/>
        <v>2.4101665205959684</v>
      </c>
      <c r="H20" s="20">
        <v>50.5</v>
      </c>
      <c r="I20" s="21"/>
    </row>
    <row r="21" spans="1:9" x14ac:dyDescent="0.3">
      <c r="A21" s="17" t="s">
        <v>226</v>
      </c>
      <c r="B21" s="17">
        <v>15</v>
      </c>
      <c r="C21" s="12">
        <v>29250</v>
      </c>
      <c r="D21" s="12">
        <v>32000</v>
      </c>
      <c r="E21" s="33">
        <f t="shared" si="0"/>
        <v>2750</v>
      </c>
      <c r="F21" s="20">
        <v>1.141</v>
      </c>
      <c r="G21" s="34">
        <f t="shared" si="1"/>
        <v>2.4101665205959684</v>
      </c>
      <c r="H21" s="20">
        <v>50.5</v>
      </c>
      <c r="I21" s="21"/>
    </row>
    <row r="22" spans="1:9" x14ac:dyDescent="0.3">
      <c r="A22" s="17" t="s">
        <v>227</v>
      </c>
      <c r="B22" s="17">
        <v>16</v>
      </c>
      <c r="C22" s="12">
        <v>29250</v>
      </c>
      <c r="D22" s="12">
        <v>32000</v>
      </c>
      <c r="E22" s="33">
        <f t="shared" si="0"/>
        <v>2750</v>
      </c>
      <c r="F22" s="20">
        <v>1.141</v>
      </c>
      <c r="G22" s="34">
        <f t="shared" si="1"/>
        <v>2.4101665205959684</v>
      </c>
      <c r="H22" s="20">
        <v>50.5</v>
      </c>
      <c r="I22" s="21"/>
    </row>
    <row r="23" spans="1:9" x14ac:dyDescent="0.3">
      <c r="A23" s="17" t="s">
        <v>228</v>
      </c>
      <c r="B23" s="17">
        <v>17</v>
      </c>
      <c r="C23" s="12">
        <v>29250</v>
      </c>
      <c r="D23" s="12">
        <v>32000</v>
      </c>
      <c r="E23" s="33">
        <f t="shared" si="0"/>
        <v>2750</v>
      </c>
      <c r="F23" s="20">
        <v>1.141</v>
      </c>
      <c r="G23" s="34">
        <f t="shared" si="1"/>
        <v>2.4101665205959684</v>
      </c>
      <c r="H23" s="20">
        <v>50.5</v>
      </c>
      <c r="I23" s="21"/>
    </row>
    <row r="24" spans="1:9" x14ac:dyDescent="0.3">
      <c r="A24" s="17" t="s">
        <v>229</v>
      </c>
      <c r="B24" s="17">
        <v>18</v>
      </c>
      <c r="C24" s="12">
        <v>29250</v>
      </c>
      <c r="D24" s="12">
        <v>32000</v>
      </c>
      <c r="E24" s="33">
        <f t="shared" si="0"/>
        <v>2750</v>
      </c>
      <c r="F24" s="20">
        <v>1.141</v>
      </c>
      <c r="G24" s="34">
        <f t="shared" si="1"/>
        <v>2.4101665205959684</v>
      </c>
      <c r="H24" s="20">
        <v>50.5</v>
      </c>
      <c r="I24" s="21"/>
    </row>
    <row r="25" spans="1:9" x14ac:dyDescent="0.3">
      <c r="A25" s="17" t="s">
        <v>230</v>
      </c>
      <c r="B25" s="17">
        <v>19</v>
      </c>
      <c r="C25" s="12">
        <v>29250</v>
      </c>
      <c r="D25" s="12">
        <v>32000</v>
      </c>
      <c r="E25" s="33">
        <f t="shared" si="0"/>
        <v>2750</v>
      </c>
      <c r="F25" s="20">
        <v>1.141</v>
      </c>
      <c r="G25" s="34">
        <f t="shared" si="1"/>
        <v>2.4101665205959684</v>
      </c>
      <c r="H25" s="20">
        <v>50.5</v>
      </c>
      <c r="I25" s="21"/>
    </row>
    <row r="26" spans="1:9" x14ac:dyDescent="0.3">
      <c r="A26" s="17" t="s">
        <v>231</v>
      </c>
      <c r="B26" s="17">
        <v>20</v>
      </c>
      <c r="C26" s="12">
        <v>29250</v>
      </c>
      <c r="D26" s="12">
        <v>32000</v>
      </c>
      <c r="E26" s="33">
        <f t="shared" si="0"/>
        <v>2750</v>
      </c>
      <c r="F26" s="20">
        <v>1.141</v>
      </c>
      <c r="G26" s="34">
        <f t="shared" si="1"/>
        <v>2.4101665205959684</v>
      </c>
      <c r="H26" s="20">
        <v>50.5</v>
      </c>
      <c r="I26" s="21"/>
    </row>
    <row r="27" spans="1:9" x14ac:dyDescent="0.3">
      <c r="A27" s="17" t="s">
        <v>232</v>
      </c>
      <c r="B27" s="17">
        <v>21</v>
      </c>
      <c r="C27" s="12">
        <v>29250</v>
      </c>
      <c r="D27" s="12">
        <v>32000</v>
      </c>
      <c r="E27" s="33">
        <f t="shared" si="0"/>
        <v>2750</v>
      </c>
      <c r="F27" s="20">
        <v>1.141</v>
      </c>
      <c r="G27" s="34">
        <f t="shared" si="1"/>
        <v>2.4101665205959684</v>
      </c>
      <c r="H27" s="20">
        <v>50.5</v>
      </c>
      <c r="I27" s="21"/>
    </row>
    <row r="28" spans="1:9" x14ac:dyDescent="0.3">
      <c r="A28" s="17" t="s">
        <v>233</v>
      </c>
      <c r="B28" s="17">
        <v>22</v>
      </c>
      <c r="C28" s="12">
        <v>29250</v>
      </c>
      <c r="D28" s="12">
        <v>32000</v>
      </c>
      <c r="E28" s="33">
        <f t="shared" si="0"/>
        <v>2750</v>
      </c>
      <c r="F28" s="20">
        <v>1.141</v>
      </c>
      <c r="G28" s="34">
        <f t="shared" si="1"/>
        <v>2.4101665205959684</v>
      </c>
      <c r="H28" s="20">
        <v>50.5</v>
      </c>
      <c r="I28" s="21"/>
    </row>
    <row r="29" spans="1:9" x14ac:dyDescent="0.3">
      <c r="A29" s="17" t="s">
        <v>234</v>
      </c>
      <c r="B29" s="17">
        <v>23</v>
      </c>
      <c r="C29" s="12">
        <v>29250</v>
      </c>
      <c r="D29" s="12">
        <v>32000</v>
      </c>
      <c r="E29" s="33">
        <f t="shared" si="0"/>
        <v>2750</v>
      </c>
      <c r="F29" s="20">
        <v>1.141</v>
      </c>
      <c r="G29" s="34">
        <f t="shared" si="1"/>
        <v>2.4101665205959684</v>
      </c>
      <c r="H29" s="20">
        <v>50.5</v>
      </c>
      <c r="I29" s="21"/>
    </row>
    <row r="30" spans="1:9" x14ac:dyDescent="0.3">
      <c r="A30" s="17" t="s">
        <v>235</v>
      </c>
      <c r="B30" s="17">
        <v>24</v>
      </c>
      <c r="C30" s="12">
        <v>29250</v>
      </c>
      <c r="D30" s="12">
        <v>32000</v>
      </c>
      <c r="E30" s="33">
        <f t="shared" si="0"/>
        <v>2750</v>
      </c>
      <c r="F30" s="20">
        <v>1.141</v>
      </c>
      <c r="G30" s="34">
        <f t="shared" si="1"/>
        <v>2.4101665205959684</v>
      </c>
      <c r="H30" s="20">
        <v>50.5</v>
      </c>
      <c r="I30" s="21"/>
    </row>
    <row r="31" spans="1:9" x14ac:dyDescent="0.3">
      <c r="A31" s="17" t="s">
        <v>236</v>
      </c>
      <c r="B31" s="17">
        <v>25</v>
      </c>
      <c r="C31" s="12">
        <v>29250</v>
      </c>
      <c r="D31" s="12">
        <v>32000</v>
      </c>
      <c r="E31" s="33">
        <f t="shared" si="0"/>
        <v>2750</v>
      </c>
      <c r="F31" s="20">
        <v>1.141</v>
      </c>
      <c r="G31" s="34">
        <f t="shared" si="1"/>
        <v>2.4101665205959684</v>
      </c>
      <c r="H31" s="20">
        <v>50.5</v>
      </c>
      <c r="I31" s="21"/>
    </row>
    <row r="32" spans="1:9" x14ac:dyDescent="0.3">
      <c r="A32" s="17" t="s">
        <v>237</v>
      </c>
      <c r="B32" s="17">
        <v>26</v>
      </c>
      <c r="C32" s="12">
        <v>29250</v>
      </c>
      <c r="D32" s="12">
        <v>32000</v>
      </c>
      <c r="E32" s="33">
        <f t="shared" si="0"/>
        <v>2750</v>
      </c>
      <c r="F32" s="20">
        <v>1.141</v>
      </c>
      <c r="G32" s="34">
        <f t="shared" si="1"/>
        <v>2.4101665205959684</v>
      </c>
      <c r="H32" s="20">
        <v>50.5</v>
      </c>
      <c r="I32" s="21"/>
    </row>
    <row r="33" spans="1:9" x14ac:dyDescent="0.3">
      <c r="A33" s="17" t="s">
        <v>238</v>
      </c>
      <c r="B33" s="17">
        <v>27</v>
      </c>
      <c r="C33" s="12">
        <v>29250</v>
      </c>
      <c r="D33" s="12">
        <v>32000</v>
      </c>
      <c r="E33" s="33">
        <f t="shared" si="0"/>
        <v>2750</v>
      </c>
      <c r="F33" s="20">
        <v>1.141</v>
      </c>
      <c r="G33" s="34">
        <f t="shared" si="1"/>
        <v>2.4101665205959684</v>
      </c>
      <c r="H33" s="20">
        <v>50.5</v>
      </c>
      <c r="I33" s="21"/>
    </row>
    <row r="34" spans="1:9" x14ac:dyDescent="0.3">
      <c r="A34" s="17" t="s">
        <v>239</v>
      </c>
      <c r="B34" s="17">
        <v>28</v>
      </c>
      <c r="C34" s="12">
        <v>29250</v>
      </c>
      <c r="D34" s="12">
        <v>32000</v>
      </c>
      <c r="E34" s="33">
        <f t="shared" si="0"/>
        <v>2750</v>
      </c>
      <c r="F34" s="20">
        <v>1.141</v>
      </c>
      <c r="G34" s="34">
        <f t="shared" si="1"/>
        <v>2.4101665205959684</v>
      </c>
      <c r="H34" s="20">
        <v>50.5</v>
      </c>
      <c r="I34" s="21"/>
    </row>
    <row r="35" spans="1:9" x14ac:dyDescent="0.3">
      <c r="A35" s="17" t="s">
        <v>240</v>
      </c>
      <c r="B35" s="17">
        <v>29</v>
      </c>
      <c r="C35" s="12">
        <v>29250</v>
      </c>
      <c r="D35" s="12">
        <v>32000</v>
      </c>
      <c r="E35" s="33">
        <f t="shared" si="0"/>
        <v>2750</v>
      </c>
      <c r="F35" s="20">
        <v>1.141</v>
      </c>
      <c r="G35" s="34">
        <f t="shared" si="1"/>
        <v>2.4101665205959684</v>
      </c>
      <c r="H35" s="20">
        <v>50.5</v>
      </c>
      <c r="I35" s="21"/>
    </row>
    <row r="36" spans="1:9" x14ac:dyDescent="0.3">
      <c r="A36" s="17" t="s">
        <v>241</v>
      </c>
      <c r="B36" s="17">
        <v>30</v>
      </c>
      <c r="C36" s="12">
        <v>29250</v>
      </c>
      <c r="D36" s="12">
        <v>32000</v>
      </c>
      <c r="E36" s="33">
        <f t="shared" si="0"/>
        <v>2750</v>
      </c>
      <c r="F36" s="20">
        <v>1.141</v>
      </c>
      <c r="G36" s="34">
        <f t="shared" si="1"/>
        <v>2.4101665205959684</v>
      </c>
      <c r="H36" s="20">
        <v>50.5</v>
      </c>
      <c r="I36" s="21"/>
    </row>
    <row r="37" spans="1:9" x14ac:dyDescent="0.3">
      <c r="A37" s="17" t="s">
        <v>242</v>
      </c>
      <c r="B37" s="17">
        <v>31</v>
      </c>
      <c r="C37" s="12">
        <v>29250</v>
      </c>
      <c r="D37" s="12">
        <v>32000</v>
      </c>
      <c r="E37" s="33">
        <f t="shared" si="0"/>
        <v>2750</v>
      </c>
      <c r="F37" s="20">
        <v>1.141</v>
      </c>
      <c r="G37" s="34">
        <f t="shared" si="1"/>
        <v>2.4101665205959684</v>
      </c>
      <c r="H37" s="20">
        <v>50.5</v>
      </c>
      <c r="I37" s="21"/>
    </row>
    <row r="38" spans="1:9" x14ac:dyDescent="0.3">
      <c r="A38" s="17" t="s">
        <v>243</v>
      </c>
      <c r="B38" s="17">
        <v>32</v>
      </c>
      <c r="C38" s="12">
        <v>29250</v>
      </c>
      <c r="D38" s="12">
        <v>32000</v>
      </c>
      <c r="E38" s="33">
        <f t="shared" ref="E38:E69" si="2">D38-C38</f>
        <v>2750</v>
      </c>
      <c r="F38" s="20">
        <v>1.141</v>
      </c>
      <c r="G38" s="34">
        <f t="shared" ref="G38:G69" si="3">IFERROR(E38*50/(2*F38*25000), 0)</f>
        <v>2.4101665205959684</v>
      </c>
      <c r="H38" s="20">
        <v>50.5</v>
      </c>
      <c r="I38" s="21"/>
    </row>
    <row r="39" spans="1:9" x14ac:dyDescent="0.3">
      <c r="A39" s="17" t="s">
        <v>244</v>
      </c>
      <c r="B39" s="17">
        <v>33</v>
      </c>
      <c r="C39" s="12">
        <v>29250</v>
      </c>
      <c r="D39" s="12">
        <v>32000</v>
      </c>
      <c r="E39" s="33">
        <f t="shared" si="2"/>
        <v>2750</v>
      </c>
      <c r="F39" s="20">
        <v>1.141</v>
      </c>
      <c r="G39" s="34">
        <f t="shared" si="3"/>
        <v>2.4101665205959684</v>
      </c>
      <c r="H39" s="20">
        <v>50.5</v>
      </c>
      <c r="I39" s="21"/>
    </row>
    <row r="40" spans="1:9" x14ac:dyDescent="0.3">
      <c r="A40" s="17" t="s">
        <v>245</v>
      </c>
      <c r="B40" s="17">
        <v>34</v>
      </c>
      <c r="C40" s="12">
        <v>29250</v>
      </c>
      <c r="D40" s="12">
        <v>32000</v>
      </c>
      <c r="E40" s="33">
        <f t="shared" si="2"/>
        <v>2750</v>
      </c>
      <c r="F40" s="20">
        <v>1.141</v>
      </c>
      <c r="G40" s="34">
        <f t="shared" si="3"/>
        <v>2.4101665205959684</v>
      </c>
      <c r="H40" s="20">
        <v>50.5</v>
      </c>
      <c r="I40" s="21"/>
    </row>
    <row r="41" spans="1:9" x14ac:dyDescent="0.3">
      <c r="A41" s="17" t="s">
        <v>246</v>
      </c>
      <c r="B41" s="17">
        <v>35</v>
      </c>
      <c r="C41" s="12">
        <v>29250</v>
      </c>
      <c r="D41" s="12">
        <v>32000</v>
      </c>
      <c r="E41" s="33">
        <f t="shared" si="2"/>
        <v>2750</v>
      </c>
      <c r="F41" s="20">
        <v>1.141</v>
      </c>
      <c r="G41" s="34">
        <f t="shared" si="3"/>
        <v>2.4101665205959684</v>
      </c>
      <c r="H41" s="20">
        <v>50.5</v>
      </c>
      <c r="I41" s="21"/>
    </row>
    <row r="42" spans="1:9" x14ac:dyDescent="0.3">
      <c r="A42" s="17" t="s">
        <v>247</v>
      </c>
      <c r="B42" s="17">
        <v>36</v>
      </c>
      <c r="C42" s="12">
        <v>29250</v>
      </c>
      <c r="D42" s="12">
        <v>32000</v>
      </c>
      <c r="E42" s="33">
        <f t="shared" si="2"/>
        <v>2750</v>
      </c>
      <c r="F42" s="20">
        <v>1.141</v>
      </c>
      <c r="G42" s="34">
        <f t="shared" si="3"/>
        <v>2.4101665205959684</v>
      </c>
      <c r="H42" s="20">
        <v>50.5</v>
      </c>
      <c r="I42" s="21"/>
    </row>
    <row r="43" spans="1:9" x14ac:dyDescent="0.3">
      <c r="A43" s="17" t="s">
        <v>248</v>
      </c>
      <c r="B43" s="17">
        <v>37</v>
      </c>
      <c r="C43" s="12">
        <v>29250</v>
      </c>
      <c r="D43" s="12">
        <v>32000</v>
      </c>
      <c r="E43" s="33">
        <f t="shared" si="2"/>
        <v>2750</v>
      </c>
      <c r="F43" s="20">
        <v>1.141</v>
      </c>
      <c r="G43" s="34">
        <f t="shared" si="3"/>
        <v>2.4101665205959684</v>
      </c>
      <c r="H43" s="20">
        <v>50.5</v>
      </c>
      <c r="I43" s="21"/>
    </row>
    <row r="44" spans="1:9" x14ac:dyDescent="0.3">
      <c r="A44" s="17" t="s">
        <v>249</v>
      </c>
      <c r="B44" s="17">
        <v>38</v>
      </c>
      <c r="C44" s="12">
        <v>29250</v>
      </c>
      <c r="D44" s="12">
        <v>32000</v>
      </c>
      <c r="E44" s="33">
        <f t="shared" si="2"/>
        <v>2750</v>
      </c>
      <c r="F44" s="20">
        <v>1.141</v>
      </c>
      <c r="G44" s="34">
        <f t="shared" si="3"/>
        <v>2.4101665205959684</v>
      </c>
      <c r="H44" s="20">
        <v>50.5</v>
      </c>
      <c r="I44" s="21"/>
    </row>
    <row r="45" spans="1:9" x14ac:dyDescent="0.3">
      <c r="A45" s="17" t="s">
        <v>250</v>
      </c>
      <c r="B45" s="17">
        <v>39</v>
      </c>
      <c r="C45" s="12">
        <v>29250</v>
      </c>
      <c r="D45" s="12">
        <v>32000</v>
      </c>
      <c r="E45" s="33">
        <f t="shared" si="2"/>
        <v>2750</v>
      </c>
      <c r="F45" s="20">
        <v>1.141</v>
      </c>
      <c r="G45" s="34">
        <f t="shared" si="3"/>
        <v>2.4101665205959684</v>
      </c>
      <c r="H45" s="20">
        <v>50.5</v>
      </c>
      <c r="I45" s="21"/>
    </row>
    <row r="46" spans="1:9" x14ac:dyDescent="0.3">
      <c r="A46" s="17" t="s">
        <v>251</v>
      </c>
      <c r="B46" s="17">
        <v>40</v>
      </c>
      <c r="C46" s="12">
        <v>29250</v>
      </c>
      <c r="D46" s="12">
        <v>32000</v>
      </c>
      <c r="E46" s="33">
        <f t="shared" si="2"/>
        <v>2750</v>
      </c>
      <c r="F46" s="20">
        <v>1.141</v>
      </c>
      <c r="G46" s="34">
        <f t="shared" si="3"/>
        <v>2.4101665205959684</v>
      </c>
      <c r="H46" s="20">
        <v>50.5</v>
      </c>
      <c r="I46" s="21"/>
    </row>
    <row r="47" spans="1:9" x14ac:dyDescent="0.3">
      <c r="A47" s="17" t="s">
        <v>252</v>
      </c>
      <c r="B47" s="17">
        <v>41</v>
      </c>
      <c r="C47" s="12">
        <v>29250</v>
      </c>
      <c r="D47" s="12">
        <v>32000</v>
      </c>
      <c r="E47" s="33">
        <f t="shared" si="2"/>
        <v>2750</v>
      </c>
      <c r="F47" s="20">
        <v>1.141</v>
      </c>
      <c r="G47" s="34">
        <f t="shared" si="3"/>
        <v>2.4101665205959684</v>
      </c>
      <c r="H47" s="20">
        <v>50.5</v>
      </c>
      <c r="I47" s="21"/>
    </row>
    <row r="48" spans="1:9" x14ac:dyDescent="0.3">
      <c r="A48" s="17" t="s">
        <v>253</v>
      </c>
      <c r="B48" s="17">
        <v>42</v>
      </c>
      <c r="C48" s="12">
        <v>29250</v>
      </c>
      <c r="D48" s="12">
        <v>32000</v>
      </c>
      <c r="E48" s="33">
        <f t="shared" si="2"/>
        <v>2750</v>
      </c>
      <c r="F48" s="20">
        <v>1.141</v>
      </c>
      <c r="G48" s="34">
        <f t="shared" si="3"/>
        <v>2.4101665205959684</v>
      </c>
      <c r="H48" s="20">
        <v>50.5</v>
      </c>
      <c r="I48" s="21"/>
    </row>
    <row r="49" spans="1:9" x14ac:dyDescent="0.3">
      <c r="A49" s="17" t="s">
        <v>254</v>
      </c>
      <c r="B49" s="17">
        <v>43</v>
      </c>
      <c r="C49" s="12">
        <v>29250</v>
      </c>
      <c r="D49" s="12">
        <v>32000</v>
      </c>
      <c r="E49" s="33">
        <f t="shared" si="2"/>
        <v>2750</v>
      </c>
      <c r="F49" s="20">
        <v>1.141</v>
      </c>
      <c r="G49" s="34">
        <f t="shared" si="3"/>
        <v>2.4101665205959684</v>
      </c>
      <c r="H49" s="20">
        <v>50.5</v>
      </c>
      <c r="I49" s="21"/>
    </row>
    <row r="50" spans="1:9" x14ac:dyDescent="0.3">
      <c r="A50" s="17" t="s">
        <v>255</v>
      </c>
      <c r="B50" s="17">
        <v>44</v>
      </c>
      <c r="C50" s="12">
        <v>29250</v>
      </c>
      <c r="D50" s="12">
        <v>32000</v>
      </c>
      <c r="E50" s="33">
        <f t="shared" si="2"/>
        <v>2750</v>
      </c>
      <c r="F50" s="20">
        <v>1.141</v>
      </c>
      <c r="G50" s="34">
        <f t="shared" si="3"/>
        <v>2.4101665205959684</v>
      </c>
      <c r="H50" s="20">
        <v>50.5</v>
      </c>
      <c r="I50" s="21"/>
    </row>
    <row r="51" spans="1:9" x14ac:dyDescent="0.3">
      <c r="A51" s="17" t="s">
        <v>256</v>
      </c>
      <c r="B51" s="17">
        <v>45</v>
      </c>
      <c r="C51" s="12">
        <v>29250</v>
      </c>
      <c r="D51" s="12">
        <v>32000</v>
      </c>
      <c r="E51" s="33">
        <f t="shared" si="2"/>
        <v>2750</v>
      </c>
      <c r="F51" s="20">
        <v>1.141</v>
      </c>
      <c r="G51" s="34">
        <f t="shared" si="3"/>
        <v>2.4101665205959684</v>
      </c>
      <c r="H51" s="20">
        <v>50.5</v>
      </c>
      <c r="I51" s="21"/>
    </row>
    <row r="52" spans="1:9" x14ac:dyDescent="0.3">
      <c r="A52" s="17" t="s">
        <v>257</v>
      </c>
      <c r="B52" s="17">
        <v>46</v>
      </c>
      <c r="C52" s="12">
        <v>29250</v>
      </c>
      <c r="D52" s="12">
        <v>32000</v>
      </c>
      <c r="E52" s="33">
        <f t="shared" si="2"/>
        <v>2750</v>
      </c>
      <c r="F52" s="20">
        <v>1.141</v>
      </c>
      <c r="G52" s="34">
        <f t="shared" si="3"/>
        <v>2.4101665205959684</v>
      </c>
      <c r="H52" s="20">
        <v>50.5</v>
      </c>
      <c r="I52" s="21"/>
    </row>
    <row r="53" spans="1:9" x14ac:dyDescent="0.3">
      <c r="A53" s="17" t="s">
        <v>258</v>
      </c>
      <c r="B53" s="17">
        <v>47</v>
      </c>
      <c r="C53" s="12">
        <v>29250</v>
      </c>
      <c r="D53" s="12">
        <v>32000</v>
      </c>
      <c r="E53" s="33">
        <f t="shared" si="2"/>
        <v>2750</v>
      </c>
      <c r="F53" s="20">
        <v>1.141</v>
      </c>
      <c r="G53" s="34">
        <f t="shared" si="3"/>
        <v>2.4101665205959684</v>
      </c>
      <c r="H53" s="20">
        <v>50.5</v>
      </c>
      <c r="I53" s="21"/>
    </row>
    <row r="54" spans="1:9" x14ac:dyDescent="0.3">
      <c r="A54" s="17" t="s">
        <v>259</v>
      </c>
      <c r="B54" s="17">
        <v>48</v>
      </c>
      <c r="C54" s="12">
        <v>29250</v>
      </c>
      <c r="D54" s="12">
        <v>32000</v>
      </c>
      <c r="E54" s="33">
        <f t="shared" si="2"/>
        <v>2750</v>
      </c>
      <c r="F54" s="20">
        <v>1.141</v>
      </c>
      <c r="G54" s="34">
        <f t="shared" si="3"/>
        <v>2.4101665205959684</v>
      </c>
      <c r="H54" s="20">
        <v>50.5</v>
      </c>
      <c r="I54" s="21"/>
    </row>
    <row r="55" spans="1:9" x14ac:dyDescent="0.3">
      <c r="A55" s="17" t="s">
        <v>260</v>
      </c>
      <c r="B55" s="17">
        <v>49</v>
      </c>
      <c r="C55" s="12">
        <v>29250</v>
      </c>
      <c r="D55" s="12">
        <v>32000</v>
      </c>
      <c r="E55" s="33">
        <f t="shared" si="2"/>
        <v>2750</v>
      </c>
      <c r="F55" s="20">
        <v>1.141</v>
      </c>
      <c r="G55" s="34">
        <f t="shared" si="3"/>
        <v>2.4101665205959684</v>
      </c>
      <c r="H55" s="20">
        <v>50.5</v>
      </c>
      <c r="I55" s="21"/>
    </row>
    <row r="56" spans="1:9" x14ac:dyDescent="0.3">
      <c r="A56" s="17" t="s">
        <v>261</v>
      </c>
      <c r="B56" s="17">
        <v>50</v>
      </c>
      <c r="C56" s="12">
        <v>29250</v>
      </c>
      <c r="D56" s="12">
        <v>32000</v>
      </c>
      <c r="E56" s="33">
        <f t="shared" si="2"/>
        <v>2750</v>
      </c>
      <c r="F56" s="20">
        <v>1.141</v>
      </c>
      <c r="G56" s="34">
        <f t="shared" si="3"/>
        <v>2.4101665205959684</v>
      </c>
      <c r="H56" s="20">
        <v>50.5</v>
      </c>
      <c r="I56" s="21"/>
    </row>
    <row r="57" spans="1:9" x14ac:dyDescent="0.3">
      <c r="A57" s="17" t="s">
        <v>262</v>
      </c>
      <c r="B57" s="17">
        <v>51</v>
      </c>
      <c r="C57" s="12">
        <v>29250</v>
      </c>
      <c r="D57" s="12">
        <v>32000</v>
      </c>
      <c r="E57" s="33">
        <f t="shared" si="2"/>
        <v>2750</v>
      </c>
      <c r="F57" s="20">
        <v>1.141</v>
      </c>
      <c r="G57" s="34">
        <f t="shared" si="3"/>
        <v>2.4101665205959684</v>
      </c>
      <c r="H57" s="20">
        <v>50.5</v>
      </c>
      <c r="I57" s="21"/>
    </row>
    <row r="58" spans="1:9" x14ac:dyDescent="0.3">
      <c r="A58" s="17" t="s">
        <v>263</v>
      </c>
      <c r="B58" s="17">
        <v>52</v>
      </c>
      <c r="C58" s="12">
        <v>29250</v>
      </c>
      <c r="D58" s="12">
        <v>32000</v>
      </c>
      <c r="E58" s="33">
        <f t="shared" si="2"/>
        <v>2750</v>
      </c>
      <c r="F58" s="20">
        <v>1.141</v>
      </c>
      <c r="G58" s="34">
        <f t="shared" si="3"/>
        <v>2.4101665205959684</v>
      </c>
      <c r="H58" s="20">
        <v>50.5</v>
      </c>
      <c r="I58" s="21"/>
    </row>
    <row r="59" spans="1:9" x14ac:dyDescent="0.3">
      <c r="A59" s="17" t="s">
        <v>264</v>
      </c>
      <c r="B59" s="17">
        <v>53</v>
      </c>
      <c r="C59" s="12">
        <v>29250</v>
      </c>
      <c r="D59" s="12">
        <v>32000</v>
      </c>
      <c r="E59" s="33">
        <f t="shared" si="2"/>
        <v>2750</v>
      </c>
      <c r="F59" s="20">
        <v>1.141</v>
      </c>
      <c r="G59" s="34">
        <f t="shared" si="3"/>
        <v>2.4101665205959684</v>
      </c>
      <c r="H59" s="20">
        <v>50.5</v>
      </c>
      <c r="I59" s="21"/>
    </row>
    <row r="60" spans="1:9" x14ac:dyDescent="0.3">
      <c r="A60" s="17" t="s">
        <v>265</v>
      </c>
      <c r="B60" s="17">
        <v>54</v>
      </c>
      <c r="C60" s="12">
        <v>29250</v>
      </c>
      <c r="D60" s="12">
        <v>32000</v>
      </c>
      <c r="E60" s="33">
        <f t="shared" si="2"/>
        <v>2750</v>
      </c>
      <c r="F60" s="20">
        <v>1.141</v>
      </c>
      <c r="G60" s="34">
        <f t="shared" si="3"/>
        <v>2.4101665205959684</v>
      </c>
      <c r="H60" s="20">
        <v>50.5</v>
      </c>
      <c r="I60" s="21"/>
    </row>
    <row r="61" spans="1:9" x14ac:dyDescent="0.3">
      <c r="A61" s="17" t="s">
        <v>266</v>
      </c>
      <c r="B61" s="17">
        <v>55</v>
      </c>
      <c r="C61" s="12">
        <v>29250</v>
      </c>
      <c r="D61" s="12">
        <v>32000</v>
      </c>
      <c r="E61" s="33">
        <f t="shared" si="2"/>
        <v>2750</v>
      </c>
      <c r="F61" s="20">
        <v>1.141</v>
      </c>
      <c r="G61" s="34">
        <f t="shared" si="3"/>
        <v>2.4101665205959684</v>
      </c>
      <c r="H61" s="20">
        <v>50.5</v>
      </c>
      <c r="I61" s="21"/>
    </row>
    <row r="62" spans="1:9" x14ac:dyDescent="0.3">
      <c r="A62" s="17" t="s">
        <v>267</v>
      </c>
      <c r="B62" s="17">
        <v>56</v>
      </c>
      <c r="C62" s="12">
        <v>29250</v>
      </c>
      <c r="D62" s="12">
        <v>32000</v>
      </c>
      <c r="E62" s="33">
        <f t="shared" si="2"/>
        <v>2750</v>
      </c>
      <c r="F62" s="20">
        <v>1.141</v>
      </c>
      <c r="G62" s="34">
        <f t="shared" si="3"/>
        <v>2.4101665205959684</v>
      </c>
      <c r="H62" s="20">
        <v>50.5</v>
      </c>
      <c r="I62" s="21"/>
    </row>
    <row r="63" spans="1:9" x14ac:dyDescent="0.3">
      <c r="A63" s="22" t="s">
        <v>93</v>
      </c>
      <c r="B63" s="22">
        <v>57</v>
      </c>
      <c r="C63" s="23">
        <v>29250</v>
      </c>
      <c r="D63" s="23">
        <v>31645</v>
      </c>
      <c r="E63" s="35">
        <f t="shared" si="2"/>
        <v>2395</v>
      </c>
      <c r="F63" s="26">
        <v>1.131</v>
      </c>
      <c r="G63" s="36">
        <f t="shared" si="3"/>
        <v>2.1175950486295312</v>
      </c>
      <c r="H63" s="26">
        <v>49.914000000000001</v>
      </c>
      <c r="I63" s="27" t="s">
        <v>268</v>
      </c>
    </row>
    <row r="64" spans="1:9" x14ac:dyDescent="0.3">
      <c r="A64" s="17" t="s">
        <v>269</v>
      </c>
      <c r="B64" s="17">
        <v>58</v>
      </c>
      <c r="C64" s="12">
        <v>29250</v>
      </c>
      <c r="D64" s="12">
        <v>31645</v>
      </c>
      <c r="E64" s="33">
        <f t="shared" si="2"/>
        <v>2395</v>
      </c>
      <c r="F64" s="20">
        <v>1.131</v>
      </c>
      <c r="G64" s="34">
        <f t="shared" si="3"/>
        <v>2.1175950486295312</v>
      </c>
      <c r="H64" s="20">
        <v>50.5</v>
      </c>
      <c r="I64" s="21"/>
    </row>
    <row r="65" spans="1:9" x14ac:dyDescent="0.3">
      <c r="A65" s="17" t="s">
        <v>270</v>
      </c>
      <c r="B65" s="17">
        <v>59</v>
      </c>
      <c r="C65" s="12">
        <v>29250</v>
      </c>
      <c r="D65" s="12">
        <v>31645</v>
      </c>
      <c r="E65" s="33">
        <f t="shared" si="2"/>
        <v>2395</v>
      </c>
      <c r="F65" s="20">
        <v>1.131</v>
      </c>
      <c r="G65" s="34">
        <f t="shared" si="3"/>
        <v>2.1175950486295312</v>
      </c>
      <c r="H65" s="20">
        <v>50.5</v>
      </c>
      <c r="I65" s="21"/>
    </row>
    <row r="66" spans="1:9" x14ac:dyDescent="0.3">
      <c r="A66" s="17" t="s">
        <v>271</v>
      </c>
      <c r="B66" s="17">
        <v>60</v>
      </c>
      <c r="C66" s="12">
        <v>29250</v>
      </c>
      <c r="D66" s="12">
        <v>31645</v>
      </c>
      <c r="E66" s="33">
        <f t="shared" si="2"/>
        <v>2395</v>
      </c>
      <c r="F66" s="20">
        <v>1.131</v>
      </c>
      <c r="G66" s="34">
        <f t="shared" si="3"/>
        <v>2.1175950486295312</v>
      </c>
      <c r="H66" s="20">
        <v>50.5</v>
      </c>
      <c r="I66" s="21"/>
    </row>
    <row r="67" spans="1:9" x14ac:dyDescent="0.3">
      <c r="A67" s="17" t="s">
        <v>272</v>
      </c>
      <c r="B67" s="17">
        <v>61</v>
      </c>
      <c r="C67" s="12">
        <v>29250</v>
      </c>
      <c r="D67" s="12">
        <v>31645</v>
      </c>
      <c r="E67" s="33">
        <f t="shared" si="2"/>
        <v>2395</v>
      </c>
      <c r="F67" s="20">
        <v>1.131</v>
      </c>
      <c r="G67" s="34">
        <f t="shared" si="3"/>
        <v>2.1175950486295312</v>
      </c>
      <c r="H67" s="20">
        <v>50.5</v>
      </c>
      <c r="I67" s="21"/>
    </row>
    <row r="68" spans="1:9" x14ac:dyDescent="0.3">
      <c r="A68" s="17" t="s">
        <v>273</v>
      </c>
      <c r="B68" s="17">
        <v>62</v>
      </c>
      <c r="C68" s="12">
        <v>29250</v>
      </c>
      <c r="D68" s="12">
        <v>31645</v>
      </c>
      <c r="E68" s="33">
        <f t="shared" si="2"/>
        <v>2395</v>
      </c>
      <c r="F68" s="20">
        <v>1.131</v>
      </c>
      <c r="G68" s="34">
        <f t="shared" si="3"/>
        <v>2.1175950486295312</v>
      </c>
      <c r="H68" s="20">
        <v>50.5</v>
      </c>
      <c r="I68" s="21"/>
    </row>
    <row r="69" spans="1:9" x14ac:dyDescent="0.3">
      <c r="A69" s="17" t="s">
        <v>274</v>
      </c>
      <c r="B69" s="17">
        <v>63</v>
      </c>
      <c r="C69" s="12">
        <v>29250</v>
      </c>
      <c r="D69" s="12">
        <v>31645</v>
      </c>
      <c r="E69" s="33">
        <f t="shared" si="2"/>
        <v>2395</v>
      </c>
      <c r="F69" s="20">
        <v>1.131</v>
      </c>
      <c r="G69" s="34">
        <f t="shared" si="3"/>
        <v>2.1175950486295312</v>
      </c>
      <c r="H69" s="20">
        <v>50.5</v>
      </c>
      <c r="I69" s="21"/>
    </row>
    <row r="70" spans="1:9" x14ac:dyDescent="0.3">
      <c r="A70" s="17" t="s">
        <v>275</v>
      </c>
      <c r="B70" s="17">
        <v>64</v>
      </c>
      <c r="C70" s="12">
        <v>29250</v>
      </c>
      <c r="D70" s="12">
        <v>31645</v>
      </c>
      <c r="E70" s="33">
        <f t="shared" ref="E70:E101" si="4">D70-C70</f>
        <v>2395</v>
      </c>
      <c r="F70" s="20">
        <v>1.131</v>
      </c>
      <c r="G70" s="34">
        <f t="shared" ref="G70:G101" si="5">IFERROR(E70*50/(2*F70*25000), 0)</f>
        <v>2.1175950486295312</v>
      </c>
      <c r="H70" s="20">
        <v>50.5</v>
      </c>
      <c r="I70" s="21"/>
    </row>
    <row r="71" spans="1:9" x14ac:dyDescent="0.3">
      <c r="A71" s="17" t="s">
        <v>276</v>
      </c>
      <c r="B71" s="17">
        <v>65</v>
      </c>
      <c r="C71" s="12">
        <v>29250</v>
      </c>
      <c r="D71" s="12">
        <v>31645</v>
      </c>
      <c r="E71" s="33">
        <f t="shared" si="4"/>
        <v>2395</v>
      </c>
      <c r="F71" s="20">
        <v>1.131</v>
      </c>
      <c r="G71" s="34">
        <f t="shared" si="5"/>
        <v>2.1175950486295312</v>
      </c>
      <c r="H71" s="20">
        <v>50.5</v>
      </c>
      <c r="I71" s="21"/>
    </row>
    <row r="72" spans="1:9" x14ac:dyDescent="0.3">
      <c r="A72" s="17" t="s">
        <v>277</v>
      </c>
      <c r="B72" s="17">
        <v>66</v>
      </c>
      <c r="C72" s="12">
        <v>29250</v>
      </c>
      <c r="D72" s="12">
        <v>31645</v>
      </c>
      <c r="E72" s="33">
        <f t="shared" si="4"/>
        <v>2395</v>
      </c>
      <c r="F72" s="20">
        <v>1.131</v>
      </c>
      <c r="G72" s="34">
        <f t="shared" si="5"/>
        <v>2.1175950486295312</v>
      </c>
      <c r="H72" s="20">
        <v>50.5</v>
      </c>
      <c r="I72" s="21"/>
    </row>
    <row r="73" spans="1:9" x14ac:dyDescent="0.3">
      <c r="A73" s="17" t="s">
        <v>278</v>
      </c>
      <c r="B73" s="17">
        <v>67</v>
      </c>
      <c r="C73" s="12">
        <v>29250</v>
      </c>
      <c r="D73" s="12">
        <v>31645</v>
      </c>
      <c r="E73" s="33">
        <f t="shared" si="4"/>
        <v>2395</v>
      </c>
      <c r="F73" s="20">
        <v>1.131</v>
      </c>
      <c r="G73" s="34">
        <f t="shared" si="5"/>
        <v>2.1175950486295312</v>
      </c>
      <c r="H73" s="20">
        <v>50.5</v>
      </c>
      <c r="I73" s="21"/>
    </row>
    <row r="74" spans="1:9" x14ac:dyDescent="0.3">
      <c r="A74" s="17" t="s">
        <v>279</v>
      </c>
      <c r="B74" s="17">
        <v>68</v>
      </c>
      <c r="C74" s="12">
        <v>29250</v>
      </c>
      <c r="D74" s="12">
        <v>31645</v>
      </c>
      <c r="E74" s="33">
        <f t="shared" si="4"/>
        <v>2395</v>
      </c>
      <c r="F74" s="20">
        <v>1.131</v>
      </c>
      <c r="G74" s="34">
        <f t="shared" si="5"/>
        <v>2.1175950486295312</v>
      </c>
      <c r="H74" s="20">
        <v>50.5</v>
      </c>
      <c r="I74" s="21"/>
    </row>
    <row r="75" spans="1:9" x14ac:dyDescent="0.3">
      <c r="A75" s="17" t="s">
        <v>280</v>
      </c>
      <c r="B75" s="17">
        <v>69</v>
      </c>
      <c r="C75" s="12">
        <v>29250</v>
      </c>
      <c r="D75" s="12">
        <v>31645</v>
      </c>
      <c r="E75" s="33">
        <f t="shared" si="4"/>
        <v>2395</v>
      </c>
      <c r="F75" s="20">
        <v>1.131</v>
      </c>
      <c r="G75" s="34">
        <f t="shared" si="5"/>
        <v>2.1175950486295312</v>
      </c>
      <c r="H75" s="20">
        <v>50.5</v>
      </c>
      <c r="I75" s="21"/>
    </row>
    <row r="76" spans="1:9" x14ac:dyDescent="0.3">
      <c r="A76" s="17" t="s">
        <v>281</v>
      </c>
      <c r="B76" s="17">
        <v>70</v>
      </c>
      <c r="C76" s="12">
        <v>29250</v>
      </c>
      <c r="D76" s="12">
        <v>31645</v>
      </c>
      <c r="E76" s="33">
        <f t="shared" si="4"/>
        <v>2395</v>
      </c>
      <c r="F76" s="20">
        <v>1.131</v>
      </c>
      <c r="G76" s="34">
        <f t="shared" si="5"/>
        <v>2.1175950486295312</v>
      </c>
      <c r="H76" s="20">
        <v>50.5</v>
      </c>
      <c r="I76" s="21"/>
    </row>
    <row r="77" spans="1:9" x14ac:dyDescent="0.3">
      <c r="A77" s="17" t="s">
        <v>282</v>
      </c>
      <c r="B77" s="17">
        <v>71</v>
      </c>
      <c r="C77" s="12">
        <v>29250</v>
      </c>
      <c r="D77" s="12">
        <v>31645</v>
      </c>
      <c r="E77" s="33">
        <f t="shared" si="4"/>
        <v>2395</v>
      </c>
      <c r="F77" s="20">
        <v>1.131</v>
      </c>
      <c r="G77" s="34">
        <f t="shared" si="5"/>
        <v>2.1175950486295312</v>
      </c>
      <c r="H77" s="20">
        <v>50.5</v>
      </c>
      <c r="I77" s="21"/>
    </row>
    <row r="78" spans="1:9" x14ac:dyDescent="0.3">
      <c r="A78" s="17" t="s">
        <v>283</v>
      </c>
      <c r="B78" s="17">
        <v>72</v>
      </c>
      <c r="C78" s="12">
        <v>29250</v>
      </c>
      <c r="D78" s="12">
        <v>31645</v>
      </c>
      <c r="E78" s="33">
        <f t="shared" si="4"/>
        <v>2395</v>
      </c>
      <c r="F78" s="20">
        <v>1.131</v>
      </c>
      <c r="G78" s="34">
        <f t="shared" si="5"/>
        <v>2.1175950486295312</v>
      </c>
      <c r="H78" s="20">
        <v>50.5</v>
      </c>
      <c r="I78" s="21"/>
    </row>
    <row r="79" spans="1:9" x14ac:dyDescent="0.3">
      <c r="A79" s="17" t="s">
        <v>284</v>
      </c>
      <c r="B79" s="17">
        <v>73</v>
      </c>
      <c r="C79" s="12">
        <v>29250</v>
      </c>
      <c r="D79" s="12">
        <v>31645</v>
      </c>
      <c r="E79" s="33">
        <f t="shared" si="4"/>
        <v>2395</v>
      </c>
      <c r="F79" s="20">
        <v>1.131</v>
      </c>
      <c r="G79" s="34">
        <f t="shared" si="5"/>
        <v>2.1175950486295312</v>
      </c>
      <c r="H79" s="20">
        <v>50.5</v>
      </c>
      <c r="I79" s="21"/>
    </row>
    <row r="80" spans="1:9" x14ac:dyDescent="0.3">
      <c r="A80" s="17" t="s">
        <v>285</v>
      </c>
      <c r="B80" s="17">
        <v>74</v>
      </c>
      <c r="C80" s="12">
        <v>29250</v>
      </c>
      <c r="D80" s="12">
        <v>31645</v>
      </c>
      <c r="E80" s="33">
        <f t="shared" si="4"/>
        <v>2395</v>
      </c>
      <c r="F80" s="20">
        <v>1.131</v>
      </c>
      <c r="G80" s="34">
        <f t="shared" si="5"/>
        <v>2.1175950486295312</v>
      </c>
      <c r="H80" s="20">
        <v>50.5</v>
      </c>
      <c r="I80" s="21"/>
    </row>
    <row r="81" spans="1:9" x14ac:dyDescent="0.3">
      <c r="A81" s="17" t="s">
        <v>286</v>
      </c>
      <c r="B81" s="17">
        <v>75</v>
      </c>
      <c r="C81" s="12">
        <v>29250</v>
      </c>
      <c r="D81" s="12">
        <v>31645</v>
      </c>
      <c r="E81" s="33">
        <f t="shared" si="4"/>
        <v>2395</v>
      </c>
      <c r="F81" s="20">
        <v>1.131</v>
      </c>
      <c r="G81" s="34">
        <f t="shared" si="5"/>
        <v>2.1175950486295312</v>
      </c>
      <c r="H81" s="20">
        <v>50.5</v>
      </c>
      <c r="I81" s="21"/>
    </row>
    <row r="82" spans="1:9" x14ac:dyDescent="0.3">
      <c r="A82" s="22" t="s">
        <v>101</v>
      </c>
      <c r="B82" s="22">
        <v>76</v>
      </c>
      <c r="C82" s="23">
        <v>29250</v>
      </c>
      <c r="D82" s="23">
        <v>30845</v>
      </c>
      <c r="E82" s="35">
        <f t="shared" si="4"/>
        <v>1595</v>
      </c>
      <c r="F82" s="26">
        <v>1.1080000000000001</v>
      </c>
      <c r="G82" s="36">
        <f t="shared" si="5"/>
        <v>1.4395306859205774</v>
      </c>
      <c r="H82" s="26">
        <v>49.85</v>
      </c>
      <c r="I82" s="27" t="s">
        <v>287</v>
      </c>
    </row>
    <row r="83" spans="1:9" x14ac:dyDescent="0.3">
      <c r="A83" s="22" t="s">
        <v>105</v>
      </c>
      <c r="B83" s="22">
        <v>77</v>
      </c>
      <c r="C83" s="23">
        <v>29250</v>
      </c>
      <c r="D83" s="23">
        <v>29800</v>
      </c>
      <c r="E83" s="35">
        <f t="shared" si="4"/>
        <v>550</v>
      </c>
      <c r="F83" s="26">
        <v>1.077</v>
      </c>
      <c r="G83" s="36">
        <f t="shared" si="5"/>
        <v>0.51067780872794799</v>
      </c>
      <c r="H83" s="26">
        <v>50.277999999999999</v>
      </c>
      <c r="I83" s="27" t="s">
        <v>288</v>
      </c>
    </row>
    <row r="84" spans="1:9" x14ac:dyDescent="0.3">
      <c r="A84" s="22" t="s">
        <v>110</v>
      </c>
      <c r="B84" s="22">
        <v>78</v>
      </c>
      <c r="C84" s="23">
        <v>27750</v>
      </c>
      <c r="D84" s="23">
        <v>29800</v>
      </c>
      <c r="E84" s="35">
        <f t="shared" si="4"/>
        <v>2050</v>
      </c>
      <c r="F84" s="26">
        <v>1.077</v>
      </c>
      <c r="G84" s="36">
        <f t="shared" si="5"/>
        <v>1.903435468895079</v>
      </c>
      <c r="H84" s="26">
        <v>47.95</v>
      </c>
      <c r="I84" s="27" t="s">
        <v>289</v>
      </c>
    </row>
    <row r="85" spans="1:9" x14ac:dyDescent="0.3">
      <c r="A85" s="17" t="s">
        <v>290</v>
      </c>
      <c r="B85" s="17">
        <v>79</v>
      </c>
      <c r="C85" s="12">
        <v>27750</v>
      </c>
      <c r="D85" s="12">
        <v>29800</v>
      </c>
      <c r="E85" s="33">
        <f t="shared" si="4"/>
        <v>2050</v>
      </c>
      <c r="F85" s="20">
        <v>1.077</v>
      </c>
      <c r="G85" s="34">
        <f t="shared" si="5"/>
        <v>1.903435468895079</v>
      </c>
      <c r="H85" s="20">
        <v>49.546999999999997</v>
      </c>
      <c r="I85" s="21"/>
    </row>
    <row r="86" spans="1:9" x14ac:dyDescent="0.3">
      <c r="A86" s="17" t="s">
        <v>291</v>
      </c>
      <c r="B86" s="17">
        <v>80</v>
      </c>
      <c r="C86" s="12">
        <v>25250</v>
      </c>
      <c r="D86" s="12">
        <v>29800</v>
      </c>
      <c r="E86" s="33">
        <f t="shared" si="4"/>
        <v>4550</v>
      </c>
      <c r="F86" s="20">
        <v>1.077</v>
      </c>
      <c r="G86" s="34">
        <f t="shared" si="5"/>
        <v>4.2246982358402967</v>
      </c>
      <c r="H86" s="20">
        <v>50.5</v>
      </c>
      <c r="I86" s="21"/>
    </row>
    <row r="87" spans="1:9" x14ac:dyDescent="0.3">
      <c r="A87" s="22" t="s">
        <v>114</v>
      </c>
      <c r="B87" s="22">
        <v>81</v>
      </c>
      <c r="C87" s="23">
        <v>21000</v>
      </c>
      <c r="D87" s="23">
        <v>24800</v>
      </c>
      <c r="E87" s="35">
        <f t="shared" si="4"/>
        <v>3800</v>
      </c>
      <c r="F87" s="26">
        <v>0.89100000000000001</v>
      </c>
      <c r="G87" s="36">
        <f t="shared" si="5"/>
        <v>4.2648709315375983</v>
      </c>
      <c r="H87" s="26">
        <v>47.5</v>
      </c>
      <c r="I87" s="27" t="s">
        <v>292</v>
      </c>
    </row>
    <row r="88" spans="1:9" x14ac:dyDescent="0.3">
      <c r="A88" s="17" t="s">
        <v>293</v>
      </c>
      <c r="B88" s="17">
        <v>82</v>
      </c>
      <c r="C88" s="12">
        <v>17000</v>
      </c>
      <c r="D88" s="12">
        <v>24800</v>
      </c>
      <c r="E88" s="33">
        <f t="shared" si="4"/>
        <v>7800</v>
      </c>
      <c r="F88" s="20">
        <v>0.89100000000000001</v>
      </c>
      <c r="G88" s="34">
        <f t="shared" si="5"/>
        <v>8.7542087542087543</v>
      </c>
      <c r="H88" s="20">
        <v>50.5</v>
      </c>
      <c r="I88" s="21"/>
    </row>
    <row r="89" spans="1:9" x14ac:dyDescent="0.3">
      <c r="A89" s="17" t="s">
        <v>294</v>
      </c>
      <c r="B89" s="17">
        <v>83</v>
      </c>
      <c r="C89" s="12">
        <v>17000</v>
      </c>
      <c r="D89" s="12">
        <v>24800</v>
      </c>
      <c r="E89" s="33">
        <f t="shared" si="4"/>
        <v>7800</v>
      </c>
      <c r="F89" s="20">
        <v>0.89100000000000001</v>
      </c>
      <c r="G89" s="34">
        <f t="shared" si="5"/>
        <v>8.7542087542087543</v>
      </c>
      <c r="H89" s="20">
        <v>50.5</v>
      </c>
      <c r="I89" s="21"/>
    </row>
    <row r="90" spans="1:9" x14ac:dyDescent="0.3">
      <c r="A90" s="22" t="s">
        <v>118</v>
      </c>
      <c r="B90" s="22">
        <v>84</v>
      </c>
      <c r="C90" s="23">
        <v>17000</v>
      </c>
      <c r="D90" s="23">
        <v>16000</v>
      </c>
      <c r="E90" s="35">
        <f t="shared" si="4"/>
        <v>-1000</v>
      </c>
      <c r="F90" s="26">
        <v>0.3</v>
      </c>
      <c r="G90" s="36">
        <f t="shared" si="5"/>
        <v>-3.3333333333333335</v>
      </c>
      <c r="H90" s="26">
        <v>0</v>
      </c>
      <c r="I90" s="27" t="s">
        <v>295</v>
      </c>
    </row>
    <row r="91" spans="1:9" x14ac:dyDescent="0.3">
      <c r="A91" s="17" t="s">
        <v>296</v>
      </c>
      <c r="B91" s="17">
        <v>85</v>
      </c>
      <c r="C91" s="12">
        <v>17000</v>
      </c>
      <c r="D91" s="12">
        <v>16000</v>
      </c>
      <c r="E91" s="33">
        <f t="shared" si="4"/>
        <v>-1000</v>
      </c>
      <c r="F91" s="20">
        <v>0.3</v>
      </c>
      <c r="G91" s="34">
        <f t="shared" si="5"/>
        <v>-3.3333333333333335</v>
      </c>
      <c r="H91" s="20">
        <v>0</v>
      </c>
      <c r="I91" s="21"/>
    </row>
    <row r="92" spans="1:9" x14ac:dyDescent="0.3">
      <c r="A92" s="17" t="s">
        <v>297</v>
      </c>
      <c r="B92" s="17">
        <v>86</v>
      </c>
      <c r="C92" s="12">
        <v>17000</v>
      </c>
      <c r="D92" s="12">
        <v>16000</v>
      </c>
      <c r="E92" s="33">
        <f t="shared" si="4"/>
        <v>-1000</v>
      </c>
      <c r="F92" s="20">
        <v>0.3</v>
      </c>
      <c r="G92" s="34">
        <f t="shared" si="5"/>
        <v>-3.3333333333333335</v>
      </c>
      <c r="H92" s="20">
        <v>0</v>
      </c>
      <c r="I92" s="21"/>
    </row>
    <row r="93" spans="1:9" x14ac:dyDescent="0.3">
      <c r="A93" s="17" t="s">
        <v>298</v>
      </c>
      <c r="B93" s="17">
        <v>87</v>
      </c>
      <c r="C93" s="12">
        <v>17000</v>
      </c>
      <c r="D93" s="12">
        <v>16000</v>
      </c>
      <c r="E93" s="33">
        <f t="shared" si="4"/>
        <v>-1000</v>
      </c>
      <c r="F93" s="20">
        <v>0.3</v>
      </c>
      <c r="G93" s="34">
        <f t="shared" si="5"/>
        <v>-3.3333333333333335</v>
      </c>
      <c r="H93" s="20">
        <v>0</v>
      </c>
      <c r="I93" s="21"/>
    </row>
    <row r="94" spans="1:9" x14ac:dyDescent="0.3">
      <c r="A94" s="17" t="s">
        <v>299</v>
      </c>
      <c r="B94" s="17">
        <v>88</v>
      </c>
      <c r="C94" s="12">
        <v>17000</v>
      </c>
      <c r="D94" s="12">
        <v>16000</v>
      </c>
      <c r="E94" s="33">
        <f t="shared" si="4"/>
        <v>-1000</v>
      </c>
      <c r="F94" s="20">
        <v>0.3</v>
      </c>
      <c r="G94" s="34">
        <f t="shared" si="5"/>
        <v>-3.3333333333333335</v>
      </c>
      <c r="H94" s="20">
        <v>0</v>
      </c>
      <c r="I94" s="21"/>
    </row>
    <row r="95" spans="1:9" x14ac:dyDescent="0.3">
      <c r="A95" s="17" t="s">
        <v>300</v>
      </c>
      <c r="B95" s="17">
        <v>89</v>
      </c>
      <c r="C95" s="12">
        <v>17000</v>
      </c>
      <c r="D95" s="12">
        <v>16000</v>
      </c>
      <c r="E95" s="33">
        <f t="shared" si="4"/>
        <v>-1000</v>
      </c>
      <c r="F95" s="20">
        <v>0.3</v>
      </c>
      <c r="G95" s="34">
        <f t="shared" si="5"/>
        <v>-3.3333333333333335</v>
      </c>
      <c r="H95" s="20">
        <v>0</v>
      </c>
      <c r="I95" s="21"/>
    </row>
    <row r="96" spans="1:9" x14ac:dyDescent="0.3">
      <c r="A96" s="17" t="s">
        <v>301</v>
      </c>
      <c r="B96" s="17">
        <v>90</v>
      </c>
      <c r="C96" s="12">
        <v>17000</v>
      </c>
      <c r="D96" s="12">
        <v>16000</v>
      </c>
      <c r="E96" s="33">
        <f t="shared" si="4"/>
        <v>-1000</v>
      </c>
      <c r="F96" s="20">
        <v>0.3</v>
      </c>
      <c r="G96" s="34">
        <f t="shared" si="5"/>
        <v>-3.3333333333333335</v>
      </c>
      <c r="H96" s="20">
        <v>0</v>
      </c>
      <c r="I96" s="21"/>
    </row>
  </sheetData>
  <pageMargins left="0.75" right="0.75" top="1" bottom="1" header="0.511811023622047" footer="0.511811023622047"/>
  <pageSetup paperSize="9" orientation="portrait" horizontalDpi="300" verticalDpi="300"/>
  <headerFooter>
    <oddFooter>&amp;C_x000D_&amp;1#&amp;"Arial"&amp;7&amp;K7f7f7f General</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5"/>
  <sheetViews>
    <sheetView tabSelected="1" topLeftCell="B1" zoomScaleNormal="100" workbookViewId="0">
      <selection activeCell="C18" sqref="C18"/>
    </sheetView>
  </sheetViews>
  <sheetFormatPr baseColWidth="10" defaultColWidth="8.6640625" defaultRowHeight="14.4" x14ac:dyDescent="0.3"/>
  <cols>
    <col min="1" max="1" width="38" customWidth="1"/>
    <col min="2" max="2" width="95" customWidth="1"/>
  </cols>
  <sheetData>
    <row r="1" spans="1:2" ht="17.399999999999999" x14ac:dyDescent="0.3">
      <c r="A1" s="8" t="s">
        <v>302</v>
      </c>
    </row>
    <row r="2" spans="1:2" x14ac:dyDescent="0.3">
      <c r="A2" s="4" t="s">
        <v>303</v>
      </c>
    </row>
    <row r="5" spans="1:2" x14ac:dyDescent="0.3">
      <c r="A5" s="7" t="s">
        <v>304</v>
      </c>
    </row>
    <row r="7" spans="1:2" x14ac:dyDescent="0.3">
      <c r="A7" s="5" t="s">
        <v>305</v>
      </c>
      <c r="B7" s="6" t="s">
        <v>306</v>
      </c>
    </row>
    <row r="8" spans="1:2" x14ac:dyDescent="0.3">
      <c r="A8" s="5" t="s">
        <v>307</v>
      </c>
      <c r="B8" s="6" t="s">
        <v>308</v>
      </c>
    </row>
    <row r="10" spans="1:2" x14ac:dyDescent="0.3">
      <c r="A10" s="7" t="s">
        <v>309</v>
      </c>
    </row>
    <row r="11" spans="1:2" x14ac:dyDescent="0.3">
      <c r="A11" s="5" t="s">
        <v>310</v>
      </c>
      <c r="B11" s="6" t="s">
        <v>311</v>
      </c>
    </row>
    <row r="12" spans="1:2" x14ac:dyDescent="0.3">
      <c r="A12" s="5" t="s">
        <v>312</v>
      </c>
      <c r="B12" s="6" t="s">
        <v>313</v>
      </c>
    </row>
    <row r="13" spans="1:2" x14ac:dyDescent="0.3">
      <c r="A13" s="5" t="s">
        <v>314</v>
      </c>
      <c r="B13" s="6" t="s">
        <v>315</v>
      </c>
    </row>
    <row r="14" spans="1:2" x14ac:dyDescent="0.3">
      <c r="A14" s="5" t="s">
        <v>316</v>
      </c>
      <c r="B14" s="6" t="s">
        <v>317</v>
      </c>
    </row>
    <row r="15" spans="1:2" x14ac:dyDescent="0.3">
      <c r="A15" s="5" t="s">
        <v>318</v>
      </c>
      <c r="B15" s="6" t="s">
        <v>319</v>
      </c>
    </row>
    <row r="16" spans="1:2" x14ac:dyDescent="0.3">
      <c r="A16" s="5" t="s">
        <v>320</v>
      </c>
      <c r="B16" s="6" t="s">
        <v>321</v>
      </c>
    </row>
    <row r="17" spans="1:2" x14ac:dyDescent="0.3">
      <c r="A17" s="5" t="s">
        <v>322</v>
      </c>
      <c r="B17" s="6" t="s">
        <v>323</v>
      </c>
    </row>
    <row r="18" spans="1:2" x14ac:dyDescent="0.3">
      <c r="A18" s="5" t="s">
        <v>324</v>
      </c>
      <c r="B18" s="6" t="s">
        <v>325</v>
      </c>
    </row>
    <row r="19" spans="1:2" x14ac:dyDescent="0.3">
      <c r="A19" s="5" t="s">
        <v>326</v>
      </c>
      <c r="B19" s="6" t="s">
        <v>327</v>
      </c>
    </row>
    <row r="20" spans="1:2" x14ac:dyDescent="0.3">
      <c r="A20" s="5" t="s">
        <v>328</v>
      </c>
      <c r="B20" s="6" t="s">
        <v>329</v>
      </c>
    </row>
    <row r="22" spans="1:2" x14ac:dyDescent="0.3">
      <c r="A22" s="7" t="s">
        <v>330</v>
      </c>
    </row>
    <row r="23" spans="1:2" x14ac:dyDescent="0.3">
      <c r="A23" s="5" t="s">
        <v>331</v>
      </c>
      <c r="B23" s="6" t="s">
        <v>332</v>
      </c>
    </row>
    <row r="24" spans="1:2" x14ac:dyDescent="0.3">
      <c r="A24" s="5" t="s">
        <v>333</v>
      </c>
      <c r="B24" s="6" t="s">
        <v>334</v>
      </c>
    </row>
    <row r="25" spans="1:2" x14ac:dyDescent="0.3">
      <c r="A25" s="5" t="s">
        <v>335</v>
      </c>
      <c r="B25" s="6" t="s">
        <v>336</v>
      </c>
    </row>
    <row r="27" spans="1:2" x14ac:dyDescent="0.3">
      <c r="A27" s="7" t="s">
        <v>337</v>
      </c>
    </row>
    <row r="28" spans="1:2" x14ac:dyDescent="0.3">
      <c r="A28" s="5" t="s">
        <v>43</v>
      </c>
      <c r="B28" s="6" t="s">
        <v>338</v>
      </c>
    </row>
    <row r="29" spans="1:2" x14ac:dyDescent="0.3">
      <c r="A29" s="5" t="s">
        <v>45</v>
      </c>
      <c r="B29" s="6" t="s">
        <v>339</v>
      </c>
    </row>
    <row r="30" spans="1:2" x14ac:dyDescent="0.3">
      <c r="A30" s="5" t="s">
        <v>47</v>
      </c>
      <c r="B30" s="6" t="s">
        <v>340</v>
      </c>
    </row>
    <row r="31" spans="1:2" x14ac:dyDescent="0.3">
      <c r="A31" s="5" t="s">
        <v>49</v>
      </c>
      <c r="B31" s="6" t="s">
        <v>341</v>
      </c>
    </row>
    <row r="33" spans="1:4" ht="39.6" x14ac:dyDescent="0.3">
      <c r="A33" s="5" t="s">
        <v>342</v>
      </c>
      <c r="B33" s="6" t="s">
        <v>343</v>
      </c>
    </row>
    <row r="36" spans="1:4" x14ac:dyDescent="0.3">
      <c r="A36" s="7" t="s">
        <v>344</v>
      </c>
    </row>
    <row r="37" spans="1:4" x14ac:dyDescent="0.3">
      <c r="A37" s="5" t="s">
        <v>207</v>
      </c>
      <c r="B37" s="37">
        <v>-355</v>
      </c>
      <c r="C37" s="11" t="s">
        <v>345</v>
      </c>
    </row>
    <row r="38" spans="1:4" x14ac:dyDescent="0.3">
      <c r="A38" s="5" t="s">
        <v>346</v>
      </c>
      <c r="B38" s="37">
        <v>50</v>
      </c>
    </row>
    <row r="39" spans="1:4" x14ac:dyDescent="0.3">
      <c r="A39" s="5" t="s">
        <v>347</v>
      </c>
      <c r="B39" s="37">
        <v>1.46</v>
      </c>
      <c r="C39" s="11" t="s">
        <v>348</v>
      </c>
    </row>
    <row r="40" spans="1:4" x14ac:dyDescent="0.3">
      <c r="A40" s="5" t="s">
        <v>349</v>
      </c>
      <c r="B40" s="37">
        <v>32000</v>
      </c>
    </row>
    <row r="41" spans="1:4" x14ac:dyDescent="0.3">
      <c r="A41" s="5" t="s">
        <v>209</v>
      </c>
      <c r="B41" s="38">
        <f>B37*B38/(2*B39*B40)</f>
        <v>-0.18996147260273974</v>
      </c>
      <c r="C41" s="11" t="s">
        <v>350</v>
      </c>
    </row>
    <row r="42" spans="1:4" x14ac:dyDescent="0.3">
      <c r="A42" s="5" t="s">
        <v>351</v>
      </c>
      <c r="B42" s="38">
        <f>B41*0.2</f>
        <v>-3.7992294520547948E-2</v>
      </c>
      <c r="C42" s="11" t="s">
        <v>352</v>
      </c>
    </row>
    <row r="45" spans="1:4" x14ac:dyDescent="0.3">
      <c r="A45" s="7" t="s">
        <v>353</v>
      </c>
    </row>
    <row r="46" spans="1:4" ht="55.2" x14ac:dyDescent="0.3">
      <c r="A46" s="39" t="s">
        <v>208</v>
      </c>
      <c r="B46" s="39" t="s">
        <v>354</v>
      </c>
      <c r="C46" s="39" t="s">
        <v>355</v>
      </c>
      <c r="D46" s="39" t="s">
        <v>356</v>
      </c>
    </row>
    <row r="47" spans="1:4" x14ac:dyDescent="0.3">
      <c r="A47" s="40">
        <v>0.5</v>
      </c>
      <c r="B47" s="34">
        <f t="shared" ref="B47:B55" si="0">-355*50/(2*A47*32000)</f>
        <v>-0.5546875</v>
      </c>
      <c r="C47" s="34">
        <f t="shared" ref="C47:C55" si="1">-2200*50/(2*A47*32000)</f>
        <v>-3.4375</v>
      </c>
      <c r="D47" s="34">
        <f t="shared" ref="D47:D55" si="2">-15000*50/(2*A47*32000)</f>
        <v>-23.4375</v>
      </c>
    </row>
    <row r="48" spans="1:4" x14ac:dyDescent="0.3">
      <c r="A48" s="40">
        <v>1</v>
      </c>
      <c r="B48" s="34">
        <f t="shared" si="0"/>
        <v>-0.27734375</v>
      </c>
      <c r="C48" s="34">
        <f t="shared" si="1"/>
        <v>-1.71875</v>
      </c>
      <c r="D48" s="34">
        <f t="shared" si="2"/>
        <v>-11.71875</v>
      </c>
    </row>
    <row r="49" spans="1:4" x14ac:dyDescent="0.3">
      <c r="A49" s="41">
        <v>1.46</v>
      </c>
      <c r="B49" s="42">
        <f t="shared" si="0"/>
        <v>-0.18996147260273974</v>
      </c>
      <c r="C49" s="42">
        <f t="shared" si="1"/>
        <v>-1.1772260273972603</v>
      </c>
      <c r="D49" s="42">
        <f t="shared" si="2"/>
        <v>-8.0265410958904102</v>
      </c>
    </row>
    <row r="50" spans="1:4" x14ac:dyDescent="0.3">
      <c r="A50" s="40">
        <v>2</v>
      </c>
      <c r="B50" s="34">
        <f t="shared" si="0"/>
        <v>-0.138671875</v>
      </c>
      <c r="C50" s="34">
        <f t="shared" si="1"/>
        <v>-0.859375</v>
      </c>
      <c r="D50" s="34">
        <f t="shared" si="2"/>
        <v>-5.859375</v>
      </c>
    </row>
    <row r="51" spans="1:4" x14ac:dyDescent="0.3">
      <c r="A51" s="40">
        <v>3</v>
      </c>
      <c r="B51" s="34">
        <f t="shared" si="0"/>
        <v>-9.2447916666666671E-2</v>
      </c>
      <c r="C51" s="34">
        <f t="shared" si="1"/>
        <v>-0.57291666666666663</v>
      </c>
      <c r="D51" s="34">
        <f t="shared" si="2"/>
        <v>-3.90625</v>
      </c>
    </row>
    <row r="52" spans="1:4" x14ac:dyDescent="0.3">
      <c r="A52" s="40">
        <v>4</v>
      </c>
      <c r="B52" s="34">
        <f>-355*50/(2*A52*32000)</f>
        <v>-6.93359375E-2</v>
      </c>
      <c r="C52" s="34">
        <f t="shared" si="1"/>
        <v>-0.4296875</v>
      </c>
      <c r="D52" s="34">
        <f t="shared" si="2"/>
        <v>-2.9296875</v>
      </c>
    </row>
    <row r="53" spans="1:4" x14ac:dyDescent="0.3">
      <c r="A53" s="40">
        <v>5</v>
      </c>
      <c r="B53" s="34">
        <f t="shared" si="0"/>
        <v>-5.5468749999999997E-2</v>
      </c>
      <c r="C53" s="34">
        <f t="shared" si="1"/>
        <v>-0.34375</v>
      </c>
      <c r="D53" s="34">
        <f t="shared" si="2"/>
        <v>-2.34375</v>
      </c>
    </row>
    <row r="54" spans="1:4" x14ac:dyDescent="0.3">
      <c r="A54" s="40">
        <v>6</v>
      </c>
      <c r="B54" s="34">
        <f t="shared" si="0"/>
        <v>-4.6223958333333336E-2</v>
      </c>
      <c r="C54" s="34">
        <f t="shared" si="1"/>
        <v>-0.28645833333333331</v>
      </c>
      <c r="D54" s="34">
        <f t="shared" si="2"/>
        <v>-1.953125</v>
      </c>
    </row>
    <row r="55" spans="1:4" x14ac:dyDescent="0.3">
      <c r="A55" s="40">
        <v>8</v>
      </c>
      <c r="B55" s="34">
        <f t="shared" si="0"/>
        <v>-3.466796875E-2</v>
      </c>
      <c r="C55" s="34">
        <f t="shared" si="1"/>
        <v>-0.21484375</v>
      </c>
      <c r="D55" s="34">
        <f t="shared" si="2"/>
        <v>-1.46484375</v>
      </c>
    </row>
  </sheetData>
  <pageMargins left="0.75" right="0.75" top="1" bottom="1" header="0.511811023622047" footer="0.511811023622047"/>
  <pageSetup paperSize="9" orientation="portrait" horizontalDpi="300" verticalDpi="300"/>
  <headerFooter>
    <oddFooter>&amp;C_x000D_&amp;1#&amp;"Arial"&amp;7&amp;K7f7f7f General</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2"/>
  <sheetViews>
    <sheetView zoomScaleNormal="100" workbookViewId="0">
      <selection activeCell="A22" sqref="A22:D22"/>
    </sheetView>
  </sheetViews>
  <sheetFormatPr baseColWidth="10" defaultColWidth="8.6640625" defaultRowHeight="14.4" x14ac:dyDescent="0.3"/>
  <cols>
    <col min="1" max="1" width="45" customWidth="1"/>
    <col min="2" max="2" width="22" customWidth="1"/>
    <col min="3" max="3" width="65" customWidth="1"/>
    <col min="4" max="4" width="70" customWidth="1"/>
  </cols>
  <sheetData>
    <row r="1" spans="1:4" ht="17.399999999999999" x14ac:dyDescent="0.3">
      <c r="A1" s="8" t="s">
        <v>357</v>
      </c>
    </row>
    <row r="3" spans="1:4" x14ac:dyDescent="0.3">
      <c r="A3" s="9" t="s">
        <v>358</v>
      </c>
      <c r="B3" s="9" t="s">
        <v>359</v>
      </c>
      <c r="C3" s="9" t="s">
        <v>360</v>
      </c>
      <c r="D3" s="9" t="s">
        <v>361</v>
      </c>
    </row>
    <row r="4" spans="1:4" ht="26.4" x14ac:dyDescent="0.3">
      <c r="A4" s="43" t="s">
        <v>362</v>
      </c>
      <c r="B4" s="21" t="s">
        <v>363</v>
      </c>
      <c r="C4" s="21" t="s">
        <v>364</v>
      </c>
      <c r="D4" s="44" t="s">
        <v>365</v>
      </c>
    </row>
    <row r="5" spans="1:4" ht="22.8" x14ac:dyDescent="0.3">
      <c r="A5" s="43" t="s">
        <v>366</v>
      </c>
      <c r="B5" s="21" t="s">
        <v>363</v>
      </c>
      <c r="C5" s="21" t="s">
        <v>367</v>
      </c>
      <c r="D5" s="44" t="s">
        <v>368</v>
      </c>
    </row>
    <row r="6" spans="1:4" ht="22.8" x14ac:dyDescent="0.3">
      <c r="A6" s="43" t="s">
        <v>369</v>
      </c>
      <c r="B6" s="21" t="s">
        <v>363</v>
      </c>
      <c r="C6" s="21" t="s">
        <v>370</v>
      </c>
      <c r="D6" s="44" t="s">
        <v>371</v>
      </c>
    </row>
    <row r="7" spans="1:4" ht="26.4" x14ac:dyDescent="0.3">
      <c r="A7" s="43" t="s">
        <v>372</v>
      </c>
      <c r="B7" s="21" t="s">
        <v>373</v>
      </c>
      <c r="C7" s="21" t="s">
        <v>374</v>
      </c>
      <c r="D7" s="44" t="s">
        <v>375</v>
      </c>
    </row>
    <row r="8" spans="1:4" ht="26.4" x14ac:dyDescent="0.3">
      <c r="A8" s="43" t="s">
        <v>376</v>
      </c>
      <c r="B8" s="21" t="s">
        <v>377</v>
      </c>
      <c r="C8" s="21" t="s">
        <v>378</v>
      </c>
      <c r="D8" s="44" t="s">
        <v>379</v>
      </c>
    </row>
    <row r="9" spans="1:4" ht="26.4" x14ac:dyDescent="0.3">
      <c r="A9" s="43" t="s">
        <v>380</v>
      </c>
      <c r="B9" s="21" t="s">
        <v>381</v>
      </c>
      <c r="C9" s="21" t="s">
        <v>382</v>
      </c>
      <c r="D9" s="44" t="s">
        <v>383</v>
      </c>
    </row>
    <row r="10" spans="1:4" ht="26.4" x14ac:dyDescent="0.3">
      <c r="A10" s="43" t="s">
        <v>384</v>
      </c>
      <c r="B10" s="21" t="s">
        <v>385</v>
      </c>
      <c r="C10" s="21" t="s">
        <v>386</v>
      </c>
      <c r="D10" s="44" t="s">
        <v>387</v>
      </c>
    </row>
    <row r="11" spans="1:4" ht="22.8" x14ac:dyDescent="0.3">
      <c r="A11" s="43" t="s">
        <v>388</v>
      </c>
      <c r="B11" s="21" t="s">
        <v>389</v>
      </c>
      <c r="C11" s="21" t="s">
        <v>390</v>
      </c>
      <c r="D11" s="44" t="s">
        <v>391</v>
      </c>
    </row>
    <row r="12" spans="1:4" x14ac:dyDescent="0.3">
      <c r="A12" s="43" t="s">
        <v>392</v>
      </c>
      <c r="B12" s="21" t="s">
        <v>393</v>
      </c>
      <c r="C12" s="21" t="s">
        <v>394</v>
      </c>
      <c r="D12" s="44" t="s">
        <v>395</v>
      </c>
    </row>
    <row r="13" spans="1:4" ht="22.8" x14ac:dyDescent="0.3">
      <c r="A13" s="43" t="s">
        <v>396</v>
      </c>
      <c r="B13" s="21" t="s">
        <v>397</v>
      </c>
      <c r="C13" s="21" t="s">
        <v>398</v>
      </c>
      <c r="D13" s="44" t="s">
        <v>399</v>
      </c>
    </row>
    <row r="14" spans="1:4" ht="22.8" x14ac:dyDescent="0.3">
      <c r="A14" s="43" t="s">
        <v>400</v>
      </c>
      <c r="B14" s="21" t="s">
        <v>397</v>
      </c>
      <c r="C14" s="21" t="s">
        <v>401</v>
      </c>
      <c r="D14" s="44" t="s">
        <v>402</v>
      </c>
    </row>
    <row r="15" spans="1:4" ht="26.4" x14ac:dyDescent="0.3">
      <c r="A15" s="43" t="s">
        <v>403</v>
      </c>
      <c r="B15" s="21" t="s">
        <v>404</v>
      </c>
      <c r="C15" s="21" t="s">
        <v>405</v>
      </c>
      <c r="D15" s="44" t="s">
        <v>406</v>
      </c>
    </row>
    <row r="16" spans="1:4" ht="26.4" x14ac:dyDescent="0.3">
      <c r="A16" s="43" t="s">
        <v>407</v>
      </c>
      <c r="B16" s="21" t="s">
        <v>408</v>
      </c>
      <c r="C16" s="21" t="s">
        <v>409</v>
      </c>
      <c r="D16" s="44" t="s">
        <v>410</v>
      </c>
    </row>
    <row r="17" spans="1:4" ht="26.4" x14ac:dyDescent="0.3">
      <c r="A17" s="43" t="s">
        <v>411</v>
      </c>
      <c r="B17" s="21" t="s">
        <v>412</v>
      </c>
      <c r="C17" s="21" t="s">
        <v>413</v>
      </c>
      <c r="D17" s="44" t="s">
        <v>414</v>
      </c>
    </row>
    <row r="18" spans="1:4" ht="26.4" x14ac:dyDescent="0.3">
      <c r="A18" s="43" t="s">
        <v>415</v>
      </c>
      <c r="B18" s="21" t="s">
        <v>404</v>
      </c>
      <c r="C18" s="21" t="s">
        <v>416</v>
      </c>
      <c r="D18" s="44" t="s">
        <v>417</v>
      </c>
    </row>
    <row r="21" spans="1:4" ht="15.6" x14ac:dyDescent="0.3">
      <c r="A21" s="45" t="s">
        <v>418</v>
      </c>
    </row>
    <row r="22" spans="1:4" ht="90" customHeight="1" x14ac:dyDescent="0.3">
      <c r="A22" s="1" t="s">
        <v>419</v>
      </c>
      <c r="B22" s="1"/>
      <c r="C22" s="1"/>
      <c r="D22" s="1"/>
    </row>
  </sheetData>
  <mergeCells count="1">
    <mergeCell ref="A22:D22"/>
  </mergeCells>
  <pageMargins left="0.75" right="0.75" top="1" bottom="1" header="0.511811023622047" footer="0.511811023622047"/>
  <pageSetup paperSize="9" orientation="portrait" horizontalDpi="300" verticalDpi="300"/>
  <headerFooter>
    <oddFooter>&amp;C_x000D_&amp;1#&amp;"Arial"&amp;7&amp;K7f7f7f General</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README</vt:lpstr>
      <vt:lpstr>Event_Timeline</vt:lpstr>
      <vt:lpstr>Hourly_Demand_Generation</vt:lpstr>
      <vt:lpstr>Pre_Event_15min</vt:lpstr>
      <vt:lpstr>Second_by_Second</vt:lpstr>
      <vt:lpstr>Swing_Equation</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Gilcordero, Alberto [EXTERNAL]</cp:lastModifiedBy>
  <cp:revision>1</cp:revision>
  <dcterms:created xsi:type="dcterms:W3CDTF">2026-06-03T10:07:30Z</dcterms:created>
  <dcterms:modified xsi:type="dcterms:W3CDTF">2026-06-03T10:11:20Z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4480757-a570-4f64-84e7-c5b3ffe9d573_Enabled">
    <vt:lpwstr>true</vt:lpwstr>
  </property>
  <property fmtid="{D5CDD505-2E9C-101B-9397-08002B2CF9AE}" pid="3" name="MSIP_Label_94480757-a570-4f64-84e7-c5b3ffe9d573_SetDate">
    <vt:lpwstr>2026-06-03T10:09:58Z</vt:lpwstr>
  </property>
  <property fmtid="{D5CDD505-2E9C-101B-9397-08002B2CF9AE}" pid="4" name="MSIP_Label_94480757-a570-4f64-84e7-c5b3ffe9d573_Method">
    <vt:lpwstr>Privileged</vt:lpwstr>
  </property>
  <property fmtid="{D5CDD505-2E9C-101B-9397-08002B2CF9AE}" pid="5" name="MSIP_Label_94480757-a570-4f64-84e7-c5b3ffe9d573_Name">
    <vt:lpwstr>General</vt:lpwstr>
  </property>
  <property fmtid="{D5CDD505-2E9C-101B-9397-08002B2CF9AE}" pid="6" name="MSIP_Label_94480757-a570-4f64-84e7-c5b3ffe9d573_SiteId">
    <vt:lpwstr>2390cbd1-e663-4321-bc93-ba298637ce52</vt:lpwstr>
  </property>
  <property fmtid="{D5CDD505-2E9C-101B-9397-08002B2CF9AE}" pid="7" name="MSIP_Label_94480757-a570-4f64-84e7-c5b3ffe9d573_ActionId">
    <vt:lpwstr>fe138a3c-a6d2-4ad4-84f0-8fed5267125e</vt:lpwstr>
  </property>
  <property fmtid="{D5CDD505-2E9C-101B-9397-08002B2CF9AE}" pid="8" name="MSIP_Label_94480757-a570-4f64-84e7-c5b3ffe9d573_ContentBits">
    <vt:lpwstr>2</vt:lpwstr>
  </property>
  <property fmtid="{D5CDD505-2E9C-101B-9397-08002B2CF9AE}" pid="9" name="MSIP_Label_94480757-a570-4f64-84e7-c5b3ffe9d573_Tag">
    <vt:lpwstr>10, 0, 1, 1</vt:lpwstr>
  </property>
</Properties>
</file>